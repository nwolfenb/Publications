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wol\Dropbox\Research\Projects\2024-Dawson-Attenuation\"/>
    </mc:Choice>
  </mc:AlternateContent>
  <xr:revisionPtr revIDLastSave="0" documentId="13_ncr:1_{F56DC459-C649-45AE-B238-B87BD2289081}" xr6:coauthVersionLast="47" xr6:coauthVersionMax="47" xr10:uidLastSave="{00000000-0000-0000-0000-000000000000}"/>
  <bookViews>
    <workbookView xWindow="-110" yWindow="-110" windowWidth="19420" windowHeight="11500" xr2:uid="{DF0FBD3C-F063-4945-8319-6C968E5D8EF5}"/>
  </bookViews>
  <sheets>
    <sheet name="Grimm et al. (2015)" sheetId="1" r:id="rId1"/>
    <sheet name="Mean Paramet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L2" i="2"/>
  <c r="C2" i="2"/>
  <c r="D2" i="2"/>
  <c r="E2" i="2"/>
  <c r="F2" i="2"/>
  <c r="G2" i="2"/>
  <c r="H2" i="2"/>
  <c r="I2" i="2"/>
  <c r="J2" i="2"/>
  <c r="K2" i="2"/>
  <c r="B2" i="2"/>
  <c r="A2" i="2"/>
  <c r="N28" i="1"/>
  <c r="O28" i="1"/>
  <c r="P28" i="1"/>
  <c r="Q28" i="1"/>
  <c r="R28" i="1"/>
  <c r="S28" i="1"/>
  <c r="T28" i="1"/>
  <c r="N29" i="1"/>
  <c r="O29" i="1"/>
  <c r="P29" i="1"/>
  <c r="Q29" i="1"/>
  <c r="R29" i="1"/>
  <c r="S29" i="1"/>
  <c r="Q2" i="1"/>
  <c r="S3" i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S13" i="1"/>
  <c r="T13" i="1" s="1"/>
  <c r="S14" i="1"/>
  <c r="T14" i="1" s="1"/>
  <c r="S15" i="1"/>
  <c r="T15" i="1" s="1"/>
  <c r="S16" i="1"/>
  <c r="S17" i="1"/>
  <c r="T17" i="1" s="1"/>
  <c r="S18" i="1"/>
  <c r="T18" i="1" s="1"/>
  <c r="S19" i="1"/>
  <c r="T19" i="1" s="1"/>
  <c r="S20" i="1"/>
  <c r="T20" i="1" s="1"/>
  <c r="S21" i="1"/>
  <c r="T21" i="1" s="1"/>
  <c r="S22" i="1"/>
  <c r="S23" i="1"/>
  <c r="S24" i="1"/>
  <c r="S25" i="1"/>
  <c r="S26" i="1"/>
  <c r="T26" i="1" s="1"/>
  <c r="S27" i="1"/>
  <c r="T27" i="1" s="1"/>
  <c r="S30" i="1"/>
  <c r="S31" i="1"/>
  <c r="T31" i="1" s="1"/>
  <c r="S32" i="1"/>
  <c r="T32" i="1" s="1"/>
  <c r="S33" i="1"/>
  <c r="S34" i="1"/>
  <c r="T34" i="1" s="1"/>
  <c r="S35" i="1"/>
  <c r="T35" i="1" s="1"/>
  <c r="S36" i="1"/>
  <c r="T36" i="1" s="1"/>
  <c r="S37" i="1"/>
  <c r="S38" i="1"/>
  <c r="S39" i="1"/>
  <c r="S40" i="1"/>
  <c r="T40" i="1" s="1"/>
  <c r="S41" i="1"/>
  <c r="S42" i="1"/>
  <c r="T42" i="1" s="1"/>
  <c r="S43" i="1"/>
  <c r="T43" i="1" s="1"/>
  <c r="S44" i="1"/>
  <c r="T44" i="1" s="1"/>
  <c r="S45" i="1"/>
  <c r="T45" i="1" s="1"/>
  <c r="S46" i="1"/>
  <c r="T46" i="1" s="1"/>
  <c r="S47" i="1"/>
  <c r="S48" i="1"/>
  <c r="S49" i="1"/>
  <c r="S5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S2" i="1"/>
  <c r="T2" i="1" s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T39" i="1" l="1"/>
  <c r="T25" i="1"/>
  <c r="T38" i="1"/>
  <c r="T24" i="1"/>
  <c r="T41" i="1"/>
  <c r="T22" i="1"/>
  <c r="T33" i="1"/>
  <c r="T29" i="1"/>
  <c r="T30" i="1"/>
  <c r="T16" i="1"/>
  <c r="T23" i="1"/>
  <c r="T3" i="1"/>
  <c r="T47" i="1"/>
  <c r="T12" i="1"/>
  <c r="T37" i="1"/>
  <c r="T50" i="1"/>
  <c r="T49" i="1"/>
  <c r="T48" i="1"/>
</calcChain>
</file>

<file path=xl/sharedStrings.xml><?xml version="1.0" encoding="utf-8"?>
<sst xmlns="http://schemas.openxmlformats.org/spreadsheetml/2006/main" count="177" uniqueCount="34">
  <si>
    <t>WAIS</t>
  </si>
  <si>
    <t>n/a</t>
  </si>
  <si>
    <t>South Pole</t>
  </si>
  <si>
    <t>Siple Dome</t>
  </si>
  <si>
    <t>Newall</t>
  </si>
  <si>
    <t>GISP2</t>
  </si>
  <si>
    <t>Fremont</t>
  </si>
  <si>
    <t>Ea2</t>
  </si>
  <si>
    <t>Ea1</t>
  </si>
  <si>
    <t>sigmaDC</t>
  </si>
  <si>
    <t>alpha2</t>
  </si>
  <si>
    <t>delta_eps2</t>
  </si>
  <si>
    <t>alpha1</t>
  </si>
  <si>
    <t>delta_eps1</t>
  </si>
  <si>
    <t>eps_inf</t>
  </si>
  <si>
    <t xml:space="preserve">Core </t>
  </si>
  <si>
    <t>Depth (m)</t>
  </si>
  <si>
    <t>Temp ©</t>
  </si>
  <si>
    <t>fr1 (Hz)</t>
  </si>
  <si>
    <t>fr2 (Hz)</t>
  </si>
  <si>
    <t>Mullins</t>
  </si>
  <si>
    <t>Vostok (Meteoric)</t>
  </si>
  <si>
    <t>f1&gt;f2</t>
  </si>
  <si>
    <t>alpha1&gt;alpha2</t>
  </si>
  <si>
    <t>Ea1&gt;Ea2</t>
  </si>
  <si>
    <t>sigma_inf1&gt;sigma_inf2</t>
  </si>
  <si>
    <t>delta_eps1&gt;delta_eps2</t>
  </si>
  <si>
    <t>sigma_inf1</t>
  </si>
  <si>
    <t>sigma_inf2</t>
  </si>
  <si>
    <t>Taylor Dome</t>
  </si>
  <si>
    <t>Vostok (Accreted 2)</t>
  </si>
  <si>
    <t>Vostok (Accreted 1)</t>
  </si>
  <si>
    <t>eps1</t>
  </si>
  <si>
    <t>eps2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</si>
</sst>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Fill="1"/>
    <xf numFmtId="11" fontId="0" fillId="0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8B94-992A-4C13-B714-21E570E9DF5D}">
  <dimension ref="A1:T50"/>
  <sheetViews>
    <sheetView tabSelected="1" zoomScale="78"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D51" sqref="D51"/>
    </sheetView>
  </sheetViews>
  <sheetFormatPr defaultRowHeight="14.5" x14ac:dyDescent="0.35"/>
  <cols>
    <col min="1" max="1" width="21.54296875" style="2" customWidth="1"/>
    <col min="2" max="4" width="8.7265625" style="2"/>
    <col min="5" max="5" width="9.90625" style="2" bestFit="1" customWidth="1"/>
    <col min="6" max="7" width="8.7265625" style="2"/>
    <col min="8" max="8" width="9.90625" style="2" bestFit="1" customWidth="1"/>
    <col min="9" max="9" width="8.7265625" style="2"/>
    <col min="10" max="10" width="8.7265625" style="2" customWidth="1"/>
    <col min="11" max="11" width="9.1796875" style="2" customWidth="1"/>
    <col min="12" max="12" width="8.7265625" style="2" customWidth="1"/>
    <col min="13" max="13" width="8.7265625" style="2"/>
    <col min="14" max="14" width="19.81640625" style="2" bestFit="1" customWidth="1"/>
    <col min="15" max="15" width="8.7265625" style="2"/>
    <col min="16" max="16" width="13" style="2" bestFit="1" customWidth="1"/>
    <col min="17" max="17" width="8.7265625" style="2"/>
    <col min="18" max="18" width="8.7265625" style="4"/>
    <col min="19" max="19" width="8.7265625" style="2"/>
    <col min="20" max="20" width="19.81640625" style="2" bestFit="1" customWidth="1"/>
    <col min="21" max="16384" width="8.7265625" style="2"/>
  </cols>
  <sheetData>
    <row r="1" spans="1:20" x14ac:dyDescent="0.35">
      <c r="A1" s="2" t="s">
        <v>15</v>
      </c>
      <c r="B1" s="2" t="s">
        <v>16</v>
      </c>
      <c r="C1" s="2" t="s">
        <v>17</v>
      </c>
      <c r="D1" s="2" t="s">
        <v>14</v>
      </c>
      <c r="E1" s="2" t="s">
        <v>13</v>
      </c>
      <c r="F1" s="2" t="s">
        <v>18</v>
      </c>
      <c r="G1" s="2" t="s">
        <v>12</v>
      </c>
      <c r="H1" s="2" t="s">
        <v>11</v>
      </c>
      <c r="I1" s="2" t="s">
        <v>19</v>
      </c>
      <c r="J1" s="2" t="s">
        <v>10</v>
      </c>
      <c r="K1" s="2" t="s">
        <v>9</v>
      </c>
      <c r="L1" s="2" t="s">
        <v>8</v>
      </c>
      <c r="M1" s="2" t="s">
        <v>7</v>
      </c>
      <c r="N1" s="2" t="s">
        <v>26</v>
      </c>
      <c r="O1" s="2" t="s">
        <v>22</v>
      </c>
      <c r="P1" s="2" t="s">
        <v>23</v>
      </c>
      <c r="Q1" s="2" t="s">
        <v>24</v>
      </c>
      <c r="R1" s="2" t="s">
        <v>27</v>
      </c>
      <c r="S1" s="2" t="s">
        <v>28</v>
      </c>
      <c r="T1" s="2" t="s">
        <v>25</v>
      </c>
    </row>
    <row r="2" spans="1:20" x14ac:dyDescent="0.35">
      <c r="A2" s="2" t="s">
        <v>6</v>
      </c>
      <c r="B2" s="2">
        <v>3.96</v>
      </c>
      <c r="C2" s="2">
        <v>-40.799999999999997</v>
      </c>
      <c r="D2" s="2">
        <v>3.24</v>
      </c>
      <c r="E2" s="2">
        <v>137.72</v>
      </c>
      <c r="F2" s="2">
        <v>720.4</v>
      </c>
      <c r="G2" s="2">
        <v>0</v>
      </c>
      <c r="H2" s="2" t="s">
        <v>1</v>
      </c>
      <c r="I2" s="2" t="s">
        <v>1</v>
      </c>
      <c r="J2" s="2" t="s">
        <v>1</v>
      </c>
      <c r="K2" s="3">
        <v>3.2000000000000001E-9</v>
      </c>
      <c r="L2" s="2">
        <v>0.151</v>
      </c>
      <c r="M2" s="2" t="s">
        <v>1</v>
      </c>
      <c r="N2" s="2" t="str">
        <f>IF(H2="n/a","n/a",IF(E2&gt;H2,1,0))</f>
        <v>n/a</v>
      </c>
      <c r="O2" s="2" t="str">
        <f>IF(I2="n/a","n/a",IF(F2&gt;I2,1,0))</f>
        <v>n/a</v>
      </c>
      <c r="P2" s="2" t="str">
        <f>IF(J2="n/a","n/a",IF(G2&gt;J2,1,0))</f>
        <v>n/a</v>
      </c>
      <c r="Q2" s="2" t="str">
        <f>IF(M2="n/a","n/a",IF(L2&gt;M2,1,0))</f>
        <v>n/a</v>
      </c>
      <c r="R2" s="4">
        <f>E2*F2</f>
        <v>99213.487999999998</v>
      </c>
      <c r="S2" s="2" t="str">
        <f>IF(H2="n/a","n/a",H2*I2)</f>
        <v>n/a</v>
      </c>
      <c r="T2" s="2" t="str">
        <f>IF(S2="n/a","n/a",IF(R2&gt;S2,1,0))</f>
        <v>n/a</v>
      </c>
    </row>
    <row r="3" spans="1:20" x14ac:dyDescent="0.35">
      <c r="A3" s="2" t="s">
        <v>6</v>
      </c>
      <c r="B3" s="2">
        <v>13.46</v>
      </c>
      <c r="C3" s="2">
        <v>-40.700000000000003</v>
      </c>
      <c r="D3" s="2">
        <v>2.83</v>
      </c>
      <c r="E3" s="2">
        <v>18.8</v>
      </c>
      <c r="F3" s="3">
        <v>2460</v>
      </c>
      <c r="G3" s="2">
        <v>0.29799999999999999</v>
      </c>
      <c r="H3" s="2">
        <v>9.68</v>
      </c>
      <c r="I3" s="2">
        <v>623.83000000000004</v>
      </c>
      <c r="J3" s="2">
        <v>1.7999999999999999E-2</v>
      </c>
      <c r="K3" s="3">
        <v>1.1000000000000001E-11</v>
      </c>
      <c r="L3" s="2">
        <v>0.16489999999999999</v>
      </c>
      <c r="M3" s="2">
        <v>0.1462</v>
      </c>
      <c r="N3" s="2">
        <f t="shared" ref="N3:N50" si="0">IF(H3="n/a","n/a",IF(E3&gt;H3,1,0))</f>
        <v>1</v>
      </c>
      <c r="O3" s="2">
        <f t="shared" ref="O3:O50" si="1">IF(I3="n/a","n/a",IF(F3&gt;I3,1,0))</f>
        <v>1</v>
      </c>
      <c r="P3" s="2">
        <f t="shared" ref="P3:P50" si="2">IF(J3="n/a","n/a",IF(G3&gt;J3,1,0))</f>
        <v>1</v>
      </c>
      <c r="Q3" s="2">
        <f t="shared" ref="Q3:Q50" si="3">IF(M3="n/a","n/a",IF(L3&gt;M3,1,0))</f>
        <v>1</v>
      </c>
      <c r="R3" s="4">
        <f t="shared" ref="R3:R50" si="4">E3*F3</f>
        <v>46248</v>
      </c>
      <c r="S3" s="2">
        <f t="shared" ref="S3:S50" si="5">IF(H3="n/a","n/a",H3*I3)</f>
        <v>6038.6743999999999</v>
      </c>
      <c r="T3" s="2">
        <f t="shared" ref="T3:T50" si="6">IF(S3="n/a","n/a",IF(R3&gt;S3,1,0))</f>
        <v>1</v>
      </c>
    </row>
    <row r="4" spans="1:20" x14ac:dyDescent="0.35">
      <c r="A4" s="2" t="s">
        <v>6</v>
      </c>
      <c r="B4" s="2">
        <v>74.239999999999995</v>
      </c>
      <c r="C4" s="2">
        <v>-40.6</v>
      </c>
      <c r="D4" s="2">
        <v>3.04</v>
      </c>
      <c r="E4" s="2">
        <v>46.8</v>
      </c>
      <c r="F4" s="2">
        <v>313.27</v>
      </c>
      <c r="G4" s="2">
        <v>9.7000000000000003E-3</v>
      </c>
      <c r="H4" s="2" t="s">
        <v>1</v>
      </c>
      <c r="I4" s="2" t="s">
        <v>1</v>
      </c>
      <c r="J4" s="2" t="s">
        <v>1</v>
      </c>
      <c r="K4" s="3">
        <v>1.73E-9</v>
      </c>
      <c r="L4" s="2">
        <v>0.14949999999999999</v>
      </c>
      <c r="M4" s="2" t="s">
        <v>1</v>
      </c>
      <c r="N4" s="2" t="str">
        <f t="shared" si="0"/>
        <v>n/a</v>
      </c>
      <c r="O4" s="2" t="str">
        <f t="shared" si="1"/>
        <v>n/a</v>
      </c>
      <c r="P4" s="2" t="str">
        <f t="shared" si="2"/>
        <v>n/a</v>
      </c>
      <c r="Q4" s="2" t="str">
        <f t="shared" si="3"/>
        <v>n/a</v>
      </c>
      <c r="R4" s="4">
        <f t="shared" si="4"/>
        <v>14661.035999999998</v>
      </c>
      <c r="S4" s="2" t="str">
        <f t="shared" si="5"/>
        <v>n/a</v>
      </c>
      <c r="T4" s="2" t="str">
        <f t="shared" si="6"/>
        <v>n/a</v>
      </c>
    </row>
    <row r="5" spans="1:20" x14ac:dyDescent="0.35">
      <c r="A5" s="2" t="s">
        <v>6</v>
      </c>
      <c r="B5" s="2">
        <v>137.91999999999999</v>
      </c>
      <c r="C5" s="2">
        <v>-40.700000000000003</v>
      </c>
      <c r="D5" s="2">
        <v>3.05</v>
      </c>
      <c r="E5" s="2">
        <v>51.71</v>
      </c>
      <c r="F5" s="2">
        <v>204</v>
      </c>
      <c r="G5" s="2">
        <v>0</v>
      </c>
      <c r="H5" s="2" t="s">
        <v>1</v>
      </c>
      <c r="I5" s="2" t="s">
        <v>1</v>
      </c>
      <c r="J5" s="2" t="s">
        <v>1</v>
      </c>
      <c r="K5" s="3">
        <v>6.4400000000000005E-10</v>
      </c>
      <c r="L5" s="2">
        <v>0.20530000000000001</v>
      </c>
      <c r="M5" s="2" t="s">
        <v>1</v>
      </c>
      <c r="N5" s="2" t="str">
        <f t="shared" si="0"/>
        <v>n/a</v>
      </c>
      <c r="O5" s="2" t="str">
        <f t="shared" si="1"/>
        <v>n/a</v>
      </c>
      <c r="P5" s="2" t="str">
        <f t="shared" si="2"/>
        <v>n/a</v>
      </c>
      <c r="Q5" s="2" t="str">
        <f t="shared" si="3"/>
        <v>n/a</v>
      </c>
      <c r="R5" s="4">
        <f t="shared" si="4"/>
        <v>10548.84</v>
      </c>
      <c r="S5" s="2" t="str">
        <f t="shared" si="5"/>
        <v>n/a</v>
      </c>
      <c r="T5" s="2" t="str">
        <f t="shared" si="6"/>
        <v>n/a</v>
      </c>
    </row>
    <row r="6" spans="1:20" x14ac:dyDescent="0.35">
      <c r="A6" s="2" t="s">
        <v>20</v>
      </c>
      <c r="B6" s="2">
        <v>8.6</v>
      </c>
      <c r="C6" s="2">
        <v>-40.200000000000003</v>
      </c>
      <c r="D6" s="2">
        <v>2.88</v>
      </c>
      <c r="E6" s="2">
        <v>125.3</v>
      </c>
      <c r="F6" s="3">
        <v>1360</v>
      </c>
      <c r="G6" s="2">
        <v>3.5900000000000001E-2</v>
      </c>
      <c r="H6" s="2" t="s">
        <v>1</v>
      </c>
      <c r="I6" s="2" t="s">
        <v>1</v>
      </c>
      <c r="J6" s="2" t="s">
        <v>1</v>
      </c>
      <c r="K6" s="3">
        <v>2.3000000000000001E-8</v>
      </c>
      <c r="L6" s="2">
        <v>0.1653</v>
      </c>
      <c r="M6" s="2">
        <v>0.55000000000000004</v>
      </c>
      <c r="N6" s="2" t="str">
        <f t="shared" si="0"/>
        <v>n/a</v>
      </c>
      <c r="O6" s="2" t="str">
        <f t="shared" si="1"/>
        <v>n/a</v>
      </c>
      <c r="P6" s="2" t="str">
        <f t="shared" si="2"/>
        <v>n/a</v>
      </c>
      <c r="Q6" s="2">
        <f t="shared" si="3"/>
        <v>0</v>
      </c>
      <c r="R6" s="4">
        <f t="shared" si="4"/>
        <v>170408</v>
      </c>
      <c r="S6" s="2" t="str">
        <f t="shared" si="5"/>
        <v>n/a</v>
      </c>
      <c r="T6" s="2" t="str">
        <f t="shared" si="6"/>
        <v>n/a</v>
      </c>
    </row>
    <row r="7" spans="1:20" x14ac:dyDescent="0.35">
      <c r="A7" s="2" t="s">
        <v>20</v>
      </c>
      <c r="B7" s="2">
        <v>1.27</v>
      </c>
      <c r="C7" s="2">
        <v>-40.299999999999997</v>
      </c>
      <c r="D7" s="2">
        <v>2.73</v>
      </c>
      <c r="E7" s="2">
        <v>30.85</v>
      </c>
      <c r="F7" s="3">
        <v>1580</v>
      </c>
      <c r="G7" s="2">
        <v>3.4200000000000001E-2</v>
      </c>
      <c r="H7" s="2" t="s">
        <v>1</v>
      </c>
      <c r="I7" s="2" t="s">
        <v>1</v>
      </c>
      <c r="J7" s="2" t="s">
        <v>1</v>
      </c>
      <c r="K7" s="3">
        <v>1.3200000000000001E-10</v>
      </c>
      <c r="L7" s="2">
        <v>0.19059999999999999</v>
      </c>
      <c r="M7" s="2" t="s">
        <v>1</v>
      </c>
      <c r="N7" s="2" t="str">
        <f t="shared" si="0"/>
        <v>n/a</v>
      </c>
      <c r="O7" s="2" t="str">
        <f t="shared" si="1"/>
        <v>n/a</v>
      </c>
      <c r="P7" s="2" t="str">
        <f t="shared" si="2"/>
        <v>n/a</v>
      </c>
      <c r="Q7" s="2" t="str">
        <f t="shared" si="3"/>
        <v>n/a</v>
      </c>
      <c r="R7" s="4">
        <f t="shared" si="4"/>
        <v>48743</v>
      </c>
      <c r="S7" s="2" t="str">
        <f t="shared" si="5"/>
        <v>n/a</v>
      </c>
      <c r="T7" s="2" t="str">
        <f t="shared" si="6"/>
        <v>n/a</v>
      </c>
    </row>
    <row r="8" spans="1:20" x14ac:dyDescent="0.35">
      <c r="A8" s="2" t="s">
        <v>20</v>
      </c>
      <c r="B8" s="2">
        <v>0.25</v>
      </c>
      <c r="C8" s="2">
        <v>-40.4</v>
      </c>
      <c r="D8" s="2">
        <v>2.97</v>
      </c>
      <c r="E8" s="2">
        <v>81.52</v>
      </c>
      <c r="F8" s="3">
        <v>8250</v>
      </c>
      <c r="G8" s="2">
        <v>3.0000000000000001E-3</v>
      </c>
      <c r="H8" s="2" t="s">
        <v>1</v>
      </c>
      <c r="I8" s="2" t="s">
        <v>1</v>
      </c>
      <c r="J8" s="2" t="s">
        <v>1</v>
      </c>
      <c r="K8" s="3">
        <v>3.7999999999999998E-10</v>
      </c>
      <c r="L8" s="2">
        <v>0.251</v>
      </c>
      <c r="M8" s="2" t="s">
        <v>1</v>
      </c>
      <c r="N8" s="2" t="str">
        <f t="shared" si="0"/>
        <v>n/a</v>
      </c>
      <c r="O8" s="2" t="str">
        <f t="shared" si="1"/>
        <v>n/a</v>
      </c>
      <c r="P8" s="2" t="str">
        <f t="shared" si="2"/>
        <v>n/a</v>
      </c>
      <c r="Q8" s="2" t="str">
        <f t="shared" si="3"/>
        <v>n/a</v>
      </c>
      <c r="R8" s="4">
        <f t="shared" si="4"/>
        <v>672540</v>
      </c>
      <c r="S8" s="2" t="str">
        <f t="shared" si="5"/>
        <v>n/a</v>
      </c>
      <c r="T8" s="2" t="str">
        <f t="shared" si="6"/>
        <v>n/a</v>
      </c>
    </row>
    <row r="9" spans="1:20" x14ac:dyDescent="0.35">
      <c r="A9" s="2" t="s">
        <v>20</v>
      </c>
      <c r="B9" s="2">
        <v>0.37</v>
      </c>
      <c r="C9" s="2">
        <v>-40.299999999999997</v>
      </c>
      <c r="D9" s="2">
        <v>2.91</v>
      </c>
      <c r="E9" s="2">
        <v>44.82</v>
      </c>
      <c r="F9" s="3">
        <v>10700</v>
      </c>
      <c r="G9" s="2">
        <v>0.12139999999999999</v>
      </c>
      <c r="H9" s="2" t="s">
        <v>1</v>
      </c>
      <c r="I9" s="2" t="s">
        <v>1</v>
      </c>
      <c r="J9" s="2" t="s">
        <v>1</v>
      </c>
      <c r="K9" s="3">
        <v>5.7799999999999997E-10</v>
      </c>
      <c r="L9" s="2">
        <v>0.27889999999999998</v>
      </c>
      <c r="M9" s="2" t="s">
        <v>1</v>
      </c>
      <c r="N9" s="2" t="str">
        <f t="shared" si="0"/>
        <v>n/a</v>
      </c>
      <c r="O9" s="2" t="str">
        <f t="shared" si="1"/>
        <v>n/a</v>
      </c>
      <c r="P9" s="2" t="str">
        <f t="shared" si="2"/>
        <v>n/a</v>
      </c>
      <c r="Q9" s="2" t="str">
        <f t="shared" si="3"/>
        <v>n/a</v>
      </c>
      <c r="R9" s="4">
        <f t="shared" si="4"/>
        <v>479574</v>
      </c>
      <c r="S9" s="2" t="str">
        <f t="shared" si="5"/>
        <v>n/a</v>
      </c>
      <c r="T9" s="2" t="str">
        <f t="shared" si="6"/>
        <v>n/a</v>
      </c>
    </row>
    <row r="10" spans="1:20" x14ac:dyDescent="0.35">
      <c r="A10" s="2" t="s">
        <v>20</v>
      </c>
      <c r="B10" s="2">
        <v>0.7</v>
      </c>
      <c r="C10" s="2">
        <v>-41.4</v>
      </c>
      <c r="D10" s="2">
        <v>2.72</v>
      </c>
      <c r="E10" s="2">
        <v>37.58</v>
      </c>
      <c r="F10" s="3">
        <v>9590</v>
      </c>
      <c r="G10" s="2">
        <v>3.4000000000000002E-2</v>
      </c>
      <c r="H10" s="2" t="s">
        <v>1</v>
      </c>
      <c r="I10" s="2" t="s">
        <v>1</v>
      </c>
      <c r="J10" s="2" t="s">
        <v>1</v>
      </c>
      <c r="K10" s="3">
        <v>7.4600000000000001E-10</v>
      </c>
      <c r="L10" s="2">
        <v>0.2011</v>
      </c>
      <c r="M10" s="2" t="s">
        <v>1</v>
      </c>
      <c r="N10" s="2" t="str">
        <f t="shared" si="0"/>
        <v>n/a</v>
      </c>
      <c r="O10" s="2" t="str">
        <f t="shared" si="1"/>
        <v>n/a</v>
      </c>
      <c r="P10" s="2" t="str">
        <f t="shared" si="2"/>
        <v>n/a</v>
      </c>
      <c r="Q10" s="2" t="str">
        <f t="shared" si="3"/>
        <v>n/a</v>
      </c>
      <c r="R10" s="4">
        <f t="shared" si="4"/>
        <v>360392.2</v>
      </c>
      <c r="S10" s="2" t="str">
        <f t="shared" si="5"/>
        <v>n/a</v>
      </c>
      <c r="T10" s="2" t="str">
        <f t="shared" si="6"/>
        <v>n/a</v>
      </c>
    </row>
    <row r="11" spans="1:20" x14ac:dyDescent="0.35">
      <c r="A11" s="2" t="s">
        <v>20</v>
      </c>
      <c r="B11" s="2">
        <v>5.98</v>
      </c>
      <c r="C11" s="2">
        <v>-41.3</v>
      </c>
      <c r="D11" s="2">
        <v>2.98</v>
      </c>
      <c r="E11" s="2">
        <v>119.2</v>
      </c>
      <c r="F11" s="3">
        <v>2570</v>
      </c>
      <c r="G11" s="2">
        <v>2.1000000000000001E-2</v>
      </c>
      <c r="H11" s="2" t="s">
        <v>1</v>
      </c>
      <c r="I11" s="2" t="s">
        <v>1</v>
      </c>
      <c r="J11" s="2" t="s">
        <v>1</v>
      </c>
      <c r="K11" s="3">
        <v>6.2200000000000002E-10</v>
      </c>
      <c r="L11" s="2">
        <v>0.23400000000000001</v>
      </c>
      <c r="M11" s="2" t="s">
        <v>1</v>
      </c>
      <c r="N11" s="2" t="str">
        <f t="shared" si="0"/>
        <v>n/a</v>
      </c>
      <c r="O11" s="2" t="str">
        <f t="shared" si="1"/>
        <v>n/a</v>
      </c>
      <c r="P11" s="2" t="str">
        <f t="shared" si="2"/>
        <v>n/a</v>
      </c>
      <c r="Q11" s="2" t="str">
        <f t="shared" si="3"/>
        <v>n/a</v>
      </c>
      <c r="R11" s="4">
        <f t="shared" si="4"/>
        <v>306344</v>
      </c>
      <c r="S11" s="2" t="str">
        <f t="shared" si="5"/>
        <v>n/a</v>
      </c>
      <c r="T11" s="2" t="str">
        <f t="shared" si="6"/>
        <v>n/a</v>
      </c>
    </row>
    <row r="12" spans="1:20" x14ac:dyDescent="0.35">
      <c r="A12" s="2" t="s">
        <v>20</v>
      </c>
      <c r="B12" s="2">
        <v>15.34</v>
      </c>
      <c r="C12" s="2">
        <v>-42</v>
      </c>
      <c r="D12" s="2">
        <v>2.61</v>
      </c>
      <c r="E12" s="2">
        <v>8.07</v>
      </c>
      <c r="F12" s="3">
        <v>9810</v>
      </c>
      <c r="G12" s="2">
        <v>0</v>
      </c>
      <c r="H12" s="2">
        <v>18.8</v>
      </c>
      <c r="I12" s="3">
        <v>2410</v>
      </c>
      <c r="J12" s="2">
        <v>0</v>
      </c>
      <c r="K12" s="3">
        <v>4.5E-11</v>
      </c>
      <c r="L12" s="2">
        <v>0.15920000000000001</v>
      </c>
      <c r="M12" s="2">
        <v>0.17399999999999999</v>
      </c>
      <c r="N12" s="2">
        <f t="shared" si="0"/>
        <v>0</v>
      </c>
      <c r="O12" s="2">
        <f t="shared" si="1"/>
        <v>1</v>
      </c>
      <c r="P12" s="2">
        <f t="shared" si="2"/>
        <v>0</v>
      </c>
      <c r="Q12" s="2">
        <f t="shared" si="3"/>
        <v>0</v>
      </c>
      <c r="R12" s="4">
        <f t="shared" si="4"/>
        <v>79166.7</v>
      </c>
      <c r="S12" s="2">
        <f t="shared" si="5"/>
        <v>45308</v>
      </c>
      <c r="T12" s="2">
        <f t="shared" si="6"/>
        <v>1</v>
      </c>
    </row>
    <row r="13" spans="1:20" x14ac:dyDescent="0.35">
      <c r="A13" s="2" t="s">
        <v>20</v>
      </c>
      <c r="B13" s="2">
        <v>16.18</v>
      </c>
      <c r="C13" s="2">
        <v>-40.9</v>
      </c>
      <c r="D13" s="2">
        <v>2.98</v>
      </c>
      <c r="E13" s="2">
        <v>50.53</v>
      </c>
      <c r="F13" s="3">
        <v>6200</v>
      </c>
      <c r="G13" s="2">
        <v>0</v>
      </c>
      <c r="H13" s="2" t="s">
        <v>1</v>
      </c>
      <c r="I13" s="2" t="s">
        <v>1</v>
      </c>
      <c r="J13" s="2" t="s">
        <v>1</v>
      </c>
      <c r="K13" s="3">
        <v>3.7100000000000001E-10</v>
      </c>
      <c r="L13" s="2">
        <v>0.26200000000000001</v>
      </c>
      <c r="M13" s="2" t="s">
        <v>1</v>
      </c>
      <c r="N13" s="2" t="str">
        <f t="shared" si="0"/>
        <v>n/a</v>
      </c>
      <c r="O13" s="2" t="str">
        <f t="shared" si="1"/>
        <v>n/a</v>
      </c>
      <c r="P13" s="2" t="str">
        <f t="shared" si="2"/>
        <v>n/a</v>
      </c>
      <c r="Q13" s="2" t="str">
        <f t="shared" si="3"/>
        <v>n/a</v>
      </c>
      <c r="R13" s="4">
        <f t="shared" si="4"/>
        <v>313286</v>
      </c>
      <c r="S13" s="2" t="str">
        <f t="shared" si="5"/>
        <v>n/a</v>
      </c>
      <c r="T13" s="2" t="str">
        <f t="shared" si="6"/>
        <v>n/a</v>
      </c>
    </row>
    <row r="14" spans="1:20" x14ac:dyDescent="0.35">
      <c r="A14" s="2" t="s">
        <v>20</v>
      </c>
      <c r="B14" s="2">
        <v>16.5</v>
      </c>
      <c r="C14" s="2">
        <v>-40.299999999999997</v>
      </c>
      <c r="D14" s="2">
        <v>2.88</v>
      </c>
      <c r="E14" s="2">
        <v>94.5</v>
      </c>
      <c r="F14" s="3">
        <v>1710</v>
      </c>
      <c r="G14" s="2">
        <v>0.03</v>
      </c>
      <c r="H14" s="2" t="s">
        <v>1</v>
      </c>
      <c r="I14" s="2" t="s">
        <v>1</v>
      </c>
      <c r="J14" s="2" t="s">
        <v>1</v>
      </c>
      <c r="K14" s="3">
        <v>1.1700000000000001E-10</v>
      </c>
      <c r="L14" s="2">
        <v>0.20349999999999999</v>
      </c>
      <c r="M14" s="2" t="s">
        <v>1</v>
      </c>
      <c r="N14" s="2" t="str">
        <f t="shared" si="0"/>
        <v>n/a</v>
      </c>
      <c r="O14" s="2" t="str">
        <f t="shared" si="1"/>
        <v>n/a</v>
      </c>
      <c r="P14" s="2" t="str">
        <f t="shared" si="2"/>
        <v>n/a</v>
      </c>
      <c r="Q14" s="2" t="str">
        <f t="shared" si="3"/>
        <v>n/a</v>
      </c>
      <c r="R14" s="4">
        <f t="shared" si="4"/>
        <v>161595</v>
      </c>
      <c r="S14" s="2" t="str">
        <f t="shared" si="5"/>
        <v>n/a</v>
      </c>
      <c r="T14" s="2" t="str">
        <f t="shared" si="6"/>
        <v>n/a</v>
      </c>
    </row>
    <row r="15" spans="1:20" x14ac:dyDescent="0.35">
      <c r="A15" s="2" t="s">
        <v>20</v>
      </c>
      <c r="B15" s="2">
        <v>31.26</v>
      </c>
      <c r="C15" s="2">
        <v>-41.1</v>
      </c>
      <c r="D15" s="2">
        <v>2.72</v>
      </c>
      <c r="E15" s="2">
        <v>43.28</v>
      </c>
      <c r="F15" s="3">
        <v>5980</v>
      </c>
      <c r="G15" s="2">
        <v>2.5899999999999999E-2</v>
      </c>
      <c r="H15" s="2" t="s">
        <v>1</v>
      </c>
      <c r="I15" s="2" t="s">
        <v>1</v>
      </c>
      <c r="J15" s="2" t="s">
        <v>1</v>
      </c>
      <c r="K15" s="3">
        <v>9.4700000000000006E-11</v>
      </c>
      <c r="L15" s="2">
        <v>0.24149999999999999</v>
      </c>
      <c r="M15" s="2" t="s">
        <v>1</v>
      </c>
      <c r="N15" s="2" t="str">
        <f t="shared" si="0"/>
        <v>n/a</v>
      </c>
      <c r="O15" s="2" t="str">
        <f t="shared" si="1"/>
        <v>n/a</v>
      </c>
      <c r="P15" s="2" t="str">
        <f t="shared" si="2"/>
        <v>n/a</v>
      </c>
      <c r="Q15" s="2" t="str">
        <f t="shared" si="3"/>
        <v>n/a</v>
      </c>
      <c r="R15" s="4">
        <f t="shared" si="4"/>
        <v>258814.4</v>
      </c>
      <c r="S15" s="2" t="str">
        <f t="shared" si="5"/>
        <v>n/a</v>
      </c>
      <c r="T15" s="2" t="str">
        <f t="shared" si="6"/>
        <v>n/a</v>
      </c>
    </row>
    <row r="16" spans="1:20" x14ac:dyDescent="0.35">
      <c r="A16" s="2" t="s">
        <v>5</v>
      </c>
      <c r="B16" s="2">
        <v>505</v>
      </c>
      <c r="C16" s="2">
        <v>-40</v>
      </c>
      <c r="D16" s="2">
        <v>3.12</v>
      </c>
      <c r="E16" s="2">
        <v>73.2</v>
      </c>
      <c r="F16" s="3">
        <v>1840</v>
      </c>
      <c r="G16" s="2">
        <v>0</v>
      </c>
      <c r="H16" s="2">
        <v>114</v>
      </c>
      <c r="I16" s="2">
        <v>326.35000000000002</v>
      </c>
      <c r="J16" s="2">
        <v>0</v>
      </c>
      <c r="K16" s="3">
        <v>6.3799999999999999E-9</v>
      </c>
      <c r="L16" s="2">
        <v>0.219</v>
      </c>
      <c r="M16" s="2">
        <v>0.2767</v>
      </c>
      <c r="N16" s="2">
        <f t="shared" si="0"/>
        <v>0</v>
      </c>
      <c r="O16" s="2">
        <f t="shared" si="1"/>
        <v>1</v>
      </c>
      <c r="P16" s="2">
        <f t="shared" si="2"/>
        <v>0</v>
      </c>
      <c r="Q16" s="2">
        <f t="shared" si="3"/>
        <v>0</v>
      </c>
      <c r="R16" s="4">
        <f t="shared" si="4"/>
        <v>134688</v>
      </c>
      <c r="S16" s="2">
        <f t="shared" si="5"/>
        <v>37203.9</v>
      </c>
      <c r="T16" s="2">
        <f t="shared" si="6"/>
        <v>1</v>
      </c>
    </row>
    <row r="17" spans="1:20" x14ac:dyDescent="0.35">
      <c r="A17" s="2" t="s">
        <v>5</v>
      </c>
      <c r="B17" s="2">
        <v>1404</v>
      </c>
      <c r="C17" s="2">
        <v>-40.700000000000003</v>
      </c>
      <c r="D17" s="2">
        <v>2.58</v>
      </c>
      <c r="E17" s="2">
        <v>97.6</v>
      </c>
      <c r="F17" s="3">
        <v>1170</v>
      </c>
      <c r="G17" s="2">
        <v>0</v>
      </c>
      <c r="H17" s="2" t="s">
        <v>1</v>
      </c>
      <c r="I17" s="2" t="s">
        <v>1</v>
      </c>
      <c r="J17" s="2" t="s">
        <v>1</v>
      </c>
      <c r="K17" s="3">
        <v>2.6000000000000001E-8</v>
      </c>
      <c r="L17" s="2">
        <v>0.17050000000000001</v>
      </c>
      <c r="M17" s="2">
        <v>0.22120000000000001</v>
      </c>
      <c r="N17" s="2" t="str">
        <f t="shared" si="0"/>
        <v>n/a</v>
      </c>
      <c r="O17" s="2" t="str">
        <f t="shared" si="1"/>
        <v>n/a</v>
      </c>
      <c r="P17" s="2" t="str">
        <f t="shared" si="2"/>
        <v>n/a</v>
      </c>
      <c r="Q17" s="2">
        <f t="shared" si="3"/>
        <v>0</v>
      </c>
      <c r="R17" s="4">
        <f t="shared" si="4"/>
        <v>114192</v>
      </c>
      <c r="S17" s="2" t="str">
        <f t="shared" si="5"/>
        <v>n/a</v>
      </c>
      <c r="T17" s="2" t="str">
        <f t="shared" si="6"/>
        <v>n/a</v>
      </c>
    </row>
    <row r="18" spans="1:20" x14ac:dyDescent="0.35">
      <c r="A18" s="2" t="s">
        <v>5</v>
      </c>
      <c r="B18" s="2">
        <v>1406</v>
      </c>
      <c r="C18" s="2">
        <v>-40.6</v>
      </c>
      <c r="D18" s="2">
        <v>2.98</v>
      </c>
      <c r="E18" s="2">
        <v>35.47</v>
      </c>
      <c r="F18" s="3">
        <v>2600</v>
      </c>
      <c r="G18" s="2">
        <v>0</v>
      </c>
      <c r="H18" s="2">
        <v>47.05</v>
      </c>
      <c r="I18" s="2">
        <v>514.6</v>
      </c>
      <c r="J18" s="2">
        <v>0</v>
      </c>
      <c r="K18" s="3">
        <v>6.89E-10</v>
      </c>
      <c r="L18" s="2">
        <v>0.115</v>
      </c>
      <c r="M18" s="2">
        <v>0.1356</v>
      </c>
      <c r="N18" s="2">
        <f t="shared" si="0"/>
        <v>0</v>
      </c>
      <c r="O18" s="2">
        <f t="shared" si="1"/>
        <v>1</v>
      </c>
      <c r="P18" s="2">
        <f t="shared" si="2"/>
        <v>0</v>
      </c>
      <c r="Q18" s="2">
        <f t="shared" si="3"/>
        <v>0</v>
      </c>
      <c r="R18" s="4">
        <f t="shared" si="4"/>
        <v>92222</v>
      </c>
      <c r="S18" s="2">
        <f t="shared" si="5"/>
        <v>24211.93</v>
      </c>
      <c r="T18" s="2">
        <f t="shared" si="6"/>
        <v>1</v>
      </c>
    </row>
    <row r="19" spans="1:20" x14ac:dyDescent="0.35">
      <c r="A19" s="2" t="s">
        <v>5</v>
      </c>
      <c r="B19" s="2">
        <v>1710</v>
      </c>
      <c r="C19" s="2">
        <v>-40</v>
      </c>
      <c r="D19" s="2">
        <v>3.04</v>
      </c>
      <c r="E19" s="2">
        <v>27.5</v>
      </c>
      <c r="F19" s="3">
        <v>1050</v>
      </c>
      <c r="G19" s="2">
        <v>0</v>
      </c>
      <c r="H19" s="2">
        <v>14.7</v>
      </c>
      <c r="I19" s="2">
        <v>278.10000000000002</v>
      </c>
      <c r="J19" s="2">
        <v>0.12</v>
      </c>
      <c r="K19" s="2" t="s">
        <v>1</v>
      </c>
      <c r="L19" s="2">
        <v>0.17799999999999999</v>
      </c>
      <c r="M19" s="2">
        <v>0.17949999999999999</v>
      </c>
      <c r="N19" s="2">
        <f t="shared" si="0"/>
        <v>1</v>
      </c>
      <c r="O19" s="2">
        <f t="shared" si="1"/>
        <v>1</v>
      </c>
      <c r="P19" s="2">
        <f t="shared" si="2"/>
        <v>0</v>
      </c>
      <c r="Q19" s="2">
        <f t="shared" si="3"/>
        <v>0</v>
      </c>
      <c r="R19" s="4">
        <f t="shared" si="4"/>
        <v>28875</v>
      </c>
      <c r="S19" s="2">
        <f t="shared" si="5"/>
        <v>4088.07</v>
      </c>
      <c r="T19" s="2">
        <f t="shared" si="6"/>
        <v>1</v>
      </c>
    </row>
    <row r="20" spans="1:20" x14ac:dyDescent="0.35">
      <c r="A20" s="2" t="s">
        <v>5</v>
      </c>
      <c r="B20" s="2">
        <v>1792</v>
      </c>
      <c r="C20" s="2">
        <v>-40.1</v>
      </c>
      <c r="D20" s="2">
        <v>3.44</v>
      </c>
      <c r="E20" s="2">
        <v>76.78</v>
      </c>
      <c r="F20" s="3">
        <v>747</v>
      </c>
      <c r="G20" s="2">
        <v>0</v>
      </c>
      <c r="H20" s="2">
        <v>178.31</v>
      </c>
      <c r="I20" s="2">
        <v>86.8</v>
      </c>
      <c r="J20" s="2">
        <v>0.01</v>
      </c>
      <c r="K20" s="3">
        <v>5.1799999999999999E-9</v>
      </c>
      <c r="L20" s="2">
        <v>0.20499999999999999</v>
      </c>
      <c r="M20" s="2">
        <v>0.25779999999999997</v>
      </c>
      <c r="N20" s="2">
        <f t="shared" si="0"/>
        <v>0</v>
      </c>
      <c r="O20" s="2">
        <f t="shared" si="1"/>
        <v>1</v>
      </c>
      <c r="P20" s="2">
        <f t="shared" si="2"/>
        <v>0</v>
      </c>
      <c r="Q20" s="2">
        <f t="shared" si="3"/>
        <v>0</v>
      </c>
      <c r="R20" s="4">
        <f t="shared" si="4"/>
        <v>57354.66</v>
      </c>
      <c r="S20" s="2">
        <f t="shared" si="5"/>
        <v>15477.307999999999</v>
      </c>
      <c r="T20" s="2">
        <f t="shared" si="6"/>
        <v>1</v>
      </c>
    </row>
    <row r="21" spans="1:20" x14ac:dyDescent="0.35">
      <c r="A21" s="2" t="s">
        <v>5</v>
      </c>
      <c r="B21" s="2">
        <v>2550</v>
      </c>
      <c r="C21" s="2">
        <v>-40.1</v>
      </c>
      <c r="D21" s="2">
        <v>3.11</v>
      </c>
      <c r="E21" s="2">
        <v>83.4</v>
      </c>
      <c r="F21" s="3">
        <v>769</v>
      </c>
      <c r="G21" s="2">
        <v>0</v>
      </c>
      <c r="H21" s="2" t="s">
        <v>1</v>
      </c>
      <c r="I21" s="2" t="s">
        <v>1</v>
      </c>
      <c r="J21" s="2" t="s">
        <v>1</v>
      </c>
      <c r="K21" s="3">
        <v>1.37E-9</v>
      </c>
      <c r="L21" s="2">
        <v>0.18579999999999999</v>
      </c>
      <c r="M21" s="2" t="s">
        <v>1</v>
      </c>
      <c r="N21" s="2" t="str">
        <f t="shared" si="0"/>
        <v>n/a</v>
      </c>
      <c r="O21" s="2" t="str">
        <f t="shared" si="1"/>
        <v>n/a</v>
      </c>
      <c r="P21" s="2" t="str">
        <f t="shared" si="2"/>
        <v>n/a</v>
      </c>
      <c r="Q21" s="2" t="str">
        <f t="shared" si="3"/>
        <v>n/a</v>
      </c>
      <c r="R21" s="4">
        <f t="shared" si="4"/>
        <v>64134.600000000006</v>
      </c>
      <c r="S21" s="2" t="str">
        <f t="shared" si="5"/>
        <v>n/a</v>
      </c>
      <c r="T21" s="2" t="str">
        <f t="shared" si="6"/>
        <v>n/a</v>
      </c>
    </row>
    <row r="22" spans="1:20" x14ac:dyDescent="0.35">
      <c r="A22" s="2" t="s">
        <v>4</v>
      </c>
      <c r="B22" s="2">
        <v>55</v>
      </c>
      <c r="C22" s="2">
        <v>-40.4</v>
      </c>
      <c r="D22" s="2">
        <v>3.03</v>
      </c>
      <c r="E22" s="2">
        <v>35.5</v>
      </c>
      <c r="F22" s="3">
        <v>4090</v>
      </c>
      <c r="G22" s="2">
        <v>0</v>
      </c>
      <c r="H22" s="2">
        <v>16.2</v>
      </c>
      <c r="I22" s="2">
        <v>473.97</v>
      </c>
      <c r="J22" s="2">
        <v>0</v>
      </c>
      <c r="K22" s="3">
        <v>6.7999999999999997E-9</v>
      </c>
      <c r="L22" s="2">
        <v>0.20780000000000001</v>
      </c>
      <c r="M22" s="2">
        <v>0.29959999999999998</v>
      </c>
      <c r="N22" s="2">
        <f t="shared" si="0"/>
        <v>1</v>
      </c>
      <c r="O22" s="2">
        <f t="shared" si="1"/>
        <v>1</v>
      </c>
      <c r="P22" s="2">
        <f t="shared" si="2"/>
        <v>0</v>
      </c>
      <c r="Q22" s="2">
        <f t="shared" si="3"/>
        <v>0</v>
      </c>
      <c r="R22" s="4">
        <f t="shared" si="4"/>
        <v>145195</v>
      </c>
      <c r="S22" s="2">
        <f t="shared" si="5"/>
        <v>7678.3140000000003</v>
      </c>
      <c r="T22" s="2">
        <f t="shared" si="6"/>
        <v>1</v>
      </c>
    </row>
    <row r="23" spans="1:20" x14ac:dyDescent="0.35">
      <c r="A23" s="2" t="s">
        <v>4</v>
      </c>
      <c r="B23" s="2">
        <v>80.3</v>
      </c>
      <c r="C23" s="2">
        <v>-40.299999999999997</v>
      </c>
      <c r="D23" s="2">
        <v>2.86</v>
      </c>
      <c r="E23" s="2">
        <v>86.2</v>
      </c>
      <c r="F23" s="3">
        <v>1640</v>
      </c>
      <c r="G23" s="2">
        <v>0</v>
      </c>
      <c r="H23" s="2">
        <v>61.7</v>
      </c>
      <c r="I23" s="2">
        <v>234.3</v>
      </c>
      <c r="J23" s="2">
        <v>0.11</v>
      </c>
      <c r="K23" s="3">
        <v>1.3000000000000001E-9</v>
      </c>
      <c r="L23" s="2">
        <v>0.19750000000000001</v>
      </c>
      <c r="M23" s="2">
        <v>0.27100000000000002</v>
      </c>
      <c r="N23" s="2">
        <f t="shared" si="0"/>
        <v>1</v>
      </c>
      <c r="O23" s="2">
        <f t="shared" si="1"/>
        <v>1</v>
      </c>
      <c r="P23" s="2">
        <f t="shared" si="2"/>
        <v>0</v>
      </c>
      <c r="Q23" s="2">
        <f t="shared" si="3"/>
        <v>0</v>
      </c>
      <c r="R23" s="4">
        <f t="shared" si="4"/>
        <v>141368</v>
      </c>
      <c r="S23" s="2">
        <f t="shared" si="5"/>
        <v>14456.310000000001</v>
      </c>
      <c r="T23" s="2">
        <f t="shared" si="6"/>
        <v>1</v>
      </c>
    </row>
    <row r="24" spans="1:20" x14ac:dyDescent="0.35">
      <c r="A24" s="2" t="s">
        <v>4</v>
      </c>
      <c r="B24" s="2">
        <v>102</v>
      </c>
      <c r="C24" s="2">
        <v>-44.8</v>
      </c>
      <c r="D24" s="2">
        <v>2.56</v>
      </c>
      <c r="E24" s="2">
        <v>70.652500000000003</v>
      </c>
      <c r="F24" s="3">
        <v>1060</v>
      </c>
      <c r="G24" s="2">
        <v>0</v>
      </c>
      <c r="H24" s="2">
        <v>232.18690000000001</v>
      </c>
      <c r="I24" s="2">
        <v>90.741500000000002</v>
      </c>
      <c r="J24" s="2">
        <v>6.7599999999999993E-2</v>
      </c>
      <c r="K24" s="2" t="s">
        <v>1</v>
      </c>
      <c r="L24" s="2">
        <v>0.25</v>
      </c>
      <c r="M24" s="2">
        <v>0.2311</v>
      </c>
      <c r="N24" s="2">
        <f t="shared" si="0"/>
        <v>0</v>
      </c>
      <c r="O24" s="2">
        <f t="shared" si="1"/>
        <v>1</v>
      </c>
      <c r="P24" s="2">
        <f t="shared" si="2"/>
        <v>0</v>
      </c>
      <c r="Q24" s="2">
        <f t="shared" si="3"/>
        <v>1</v>
      </c>
      <c r="R24" s="4">
        <f t="shared" si="4"/>
        <v>74891.650000000009</v>
      </c>
      <c r="S24" s="2">
        <f t="shared" si="5"/>
        <v>21068.987586350002</v>
      </c>
      <c r="T24" s="2">
        <f t="shared" si="6"/>
        <v>1</v>
      </c>
    </row>
    <row r="25" spans="1:20" x14ac:dyDescent="0.35">
      <c r="A25" s="2" t="s">
        <v>4</v>
      </c>
      <c r="B25" s="2">
        <v>120</v>
      </c>
      <c r="C25" s="2">
        <v>-40.299999999999997</v>
      </c>
      <c r="D25" s="2">
        <v>3.08</v>
      </c>
      <c r="E25" s="2">
        <v>77.5</v>
      </c>
      <c r="F25" s="3">
        <v>2790</v>
      </c>
      <c r="G25" s="2">
        <v>0</v>
      </c>
      <c r="H25" s="2">
        <v>8.8000000000000007</v>
      </c>
      <c r="I25" s="2">
        <v>242.6</v>
      </c>
      <c r="J25" s="2">
        <v>0</v>
      </c>
      <c r="K25" s="2" t="s">
        <v>1</v>
      </c>
      <c r="L25" s="2">
        <v>0.21390000000000001</v>
      </c>
      <c r="M25" s="2">
        <v>0.19800000000000001</v>
      </c>
      <c r="N25" s="2">
        <f t="shared" si="0"/>
        <v>1</v>
      </c>
      <c r="O25" s="2">
        <f t="shared" si="1"/>
        <v>1</v>
      </c>
      <c r="P25" s="2">
        <f t="shared" si="2"/>
        <v>0</v>
      </c>
      <c r="Q25" s="2">
        <f t="shared" si="3"/>
        <v>1</v>
      </c>
      <c r="R25" s="4">
        <f t="shared" si="4"/>
        <v>216225</v>
      </c>
      <c r="S25" s="2">
        <f t="shared" si="5"/>
        <v>2134.88</v>
      </c>
      <c r="T25" s="2">
        <f t="shared" si="6"/>
        <v>1</v>
      </c>
    </row>
    <row r="26" spans="1:20" x14ac:dyDescent="0.35">
      <c r="A26" s="2" t="s">
        <v>4</v>
      </c>
      <c r="B26" s="2">
        <v>133</v>
      </c>
      <c r="C26" s="2">
        <v>-40.5</v>
      </c>
      <c r="D26" s="2">
        <v>2.88</v>
      </c>
      <c r="E26" s="2">
        <v>67.05</v>
      </c>
      <c r="F26" s="3">
        <v>1240</v>
      </c>
      <c r="G26" s="2">
        <v>0</v>
      </c>
      <c r="H26" s="2">
        <v>144.52000000000001</v>
      </c>
      <c r="I26" s="2">
        <v>10.96</v>
      </c>
      <c r="J26" s="2">
        <v>0.2</v>
      </c>
      <c r="K26" s="3">
        <v>8.4499999999999998E-10</v>
      </c>
      <c r="L26" s="2">
        <v>0.23</v>
      </c>
      <c r="M26" s="2" t="s">
        <v>1</v>
      </c>
      <c r="N26" s="2">
        <f t="shared" si="0"/>
        <v>0</v>
      </c>
      <c r="O26" s="2">
        <f t="shared" si="1"/>
        <v>1</v>
      </c>
      <c r="P26" s="2">
        <f t="shared" si="2"/>
        <v>0</v>
      </c>
      <c r="Q26" s="2" t="str">
        <f t="shared" si="3"/>
        <v>n/a</v>
      </c>
      <c r="R26" s="4">
        <f t="shared" si="4"/>
        <v>83142</v>
      </c>
      <c r="S26" s="2">
        <f t="shared" si="5"/>
        <v>1583.9392000000003</v>
      </c>
      <c r="T26" s="2">
        <f t="shared" si="6"/>
        <v>1</v>
      </c>
    </row>
    <row r="27" spans="1:20" x14ac:dyDescent="0.35">
      <c r="A27" s="2" t="s">
        <v>3</v>
      </c>
      <c r="B27" s="2">
        <v>54.95</v>
      </c>
      <c r="C27" s="2">
        <v>-40.200000000000003</v>
      </c>
      <c r="D27" s="2">
        <v>2.68</v>
      </c>
      <c r="E27" s="2">
        <v>61.1</v>
      </c>
      <c r="F27" s="3">
        <v>2670</v>
      </c>
      <c r="G27" s="2">
        <v>0</v>
      </c>
      <c r="H27" s="2">
        <v>57.3</v>
      </c>
      <c r="I27" s="2">
        <v>278.3</v>
      </c>
      <c r="J27" s="2">
        <v>8.5000000000000006E-2</v>
      </c>
      <c r="K27" s="3">
        <v>2.4800000000000001E-9</v>
      </c>
      <c r="L27" s="2">
        <v>0.24110000000000001</v>
      </c>
      <c r="M27" s="2">
        <v>0.26340000000000002</v>
      </c>
      <c r="N27" s="2">
        <f t="shared" si="0"/>
        <v>1</v>
      </c>
      <c r="O27" s="2">
        <f t="shared" si="1"/>
        <v>1</v>
      </c>
      <c r="P27" s="2">
        <f t="shared" si="2"/>
        <v>0</v>
      </c>
      <c r="Q27" s="2">
        <f t="shared" si="3"/>
        <v>0</v>
      </c>
      <c r="R27" s="4">
        <f t="shared" si="4"/>
        <v>163137</v>
      </c>
      <c r="S27" s="2">
        <f t="shared" si="5"/>
        <v>15946.59</v>
      </c>
      <c r="T27" s="2">
        <f t="shared" si="6"/>
        <v>1</v>
      </c>
    </row>
    <row r="28" spans="1:20" x14ac:dyDescent="0.35">
      <c r="A28" s="2" t="s">
        <v>3</v>
      </c>
      <c r="B28" s="2">
        <v>185.35</v>
      </c>
      <c r="C28" s="2">
        <v>-40.299999999999997</v>
      </c>
      <c r="D28" s="2">
        <v>3</v>
      </c>
      <c r="E28" s="2">
        <v>70</v>
      </c>
      <c r="F28" s="3">
        <v>7160</v>
      </c>
      <c r="G28" s="2">
        <v>0.02</v>
      </c>
      <c r="H28" s="2" t="s">
        <v>1</v>
      </c>
      <c r="I28" s="2" t="s">
        <v>1</v>
      </c>
      <c r="J28" s="2" t="s">
        <v>1</v>
      </c>
      <c r="K28" s="3">
        <v>2.2200000000000001E-10</v>
      </c>
      <c r="L28" s="2">
        <v>0.29210000000000003</v>
      </c>
      <c r="M28" s="2" t="s">
        <v>1</v>
      </c>
      <c r="N28" s="2" t="str">
        <f t="shared" si="0"/>
        <v>n/a</v>
      </c>
      <c r="O28" s="2" t="str">
        <f t="shared" si="1"/>
        <v>n/a</v>
      </c>
      <c r="P28" s="2" t="str">
        <f t="shared" si="2"/>
        <v>n/a</v>
      </c>
      <c r="Q28" s="2" t="str">
        <f t="shared" si="3"/>
        <v>n/a</v>
      </c>
      <c r="R28" s="4">
        <f t="shared" si="4"/>
        <v>501200</v>
      </c>
      <c r="S28" s="2" t="str">
        <f t="shared" si="5"/>
        <v>n/a</v>
      </c>
      <c r="T28" s="2" t="str">
        <f t="shared" si="6"/>
        <v>n/a</v>
      </c>
    </row>
    <row r="29" spans="1:20" x14ac:dyDescent="0.35">
      <c r="A29" s="2" t="s">
        <v>3</v>
      </c>
      <c r="B29" s="2">
        <v>558.75</v>
      </c>
      <c r="C29" s="2">
        <v>-41.4</v>
      </c>
      <c r="D29" s="2">
        <v>3</v>
      </c>
      <c r="E29" s="2">
        <v>244.8</v>
      </c>
      <c r="F29" s="2">
        <v>401.8</v>
      </c>
      <c r="G29" s="2">
        <v>0</v>
      </c>
      <c r="H29" s="2">
        <v>390.4</v>
      </c>
      <c r="I29" s="2">
        <v>42.6</v>
      </c>
      <c r="J29" s="2">
        <v>3.9E-2</v>
      </c>
      <c r="K29" s="3">
        <v>8.4700000000000007E-9</v>
      </c>
      <c r="L29" s="2">
        <v>0.17299999999999999</v>
      </c>
      <c r="M29" s="2">
        <v>0.22900000000000001</v>
      </c>
      <c r="N29" s="2">
        <f t="shared" si="0"/>
        <v>0</v>
      </c>
      <c r="O29" s="2">
        <f t="shared" si="1"/>
        <v>1</v>
      </c>
      <c r="P29" s="2">
        <f t="shared" si="2"/>
        <v>0</v>
      </c>
      <c r="Q29" s="2">
        <f t="shared" si="3"/>
        <v>0</v>
      </c>
      <c r="R29" s="4">
        <f t="shared" si="4"/>
        <v>98360.640000000014</v>
      </c>
      <c r="S29" s="2">
        <f t="shared" si="5"/>
        <v>16631.04</v>
      </c>
      <c r="T29" s="2">
        <f t="shared" si="6"/>
        <v>1</v>
      </c>
    </row>
    <row r="30" spans="1:20" x14ac:dyDescent="0.35">
      <c r="A30" s="2" t="s">
        <v>3</v>
      </c>
      <c r="B30" s="2">
        <v>719.24</v>
      </c>
      <c r="C30" s="2">
        <v>-44</v>
      </c>
      <c r="D30" s="2">
        <v>2.98</v>
      </c>
      <c r="E30" s="2">
        <v>33.1</v>
      </c>
      <c r="F30" s="3">
        <v>3280</v>
      </c>
      <c r="G30" s="2">
        <v>0</v>
      </c>
      <c r="H30" s="2">
        <v>16.2</v>
      </c>
      <c r="I30" s="2">
        <v>335.6</v>
      </c>
      <c r="J30" s="2">
        <v>5.2999999999999999E-2</v>
      </c>
      <c r="K30" s="3">
        <v>3.8099999999999999E-9</v>
      </c>
      <c r="L30" s="2">
        <v>0.214</v>
      </c>
      <c r="M30" s="2">
        <v>0.24199999999999999</v>
      </c>
      <c r="N30" s="2">
        <f t="shared" si="0"/>
        <v>1</v>
      </c>
      <c r="O30" s="2">
        <f t="shared" si="1"/>
        <v>1</v>
      </c>
      <c r="P30" s="2">
        <f t="shared" si="2"/>
        <v>0</v>
      </c>
      <c r="Q30" s="2">
        <f t="shared" si="3"/>
        <v>0</v>
      </c>
      <c r="R30" s="4">
        <f t="shared" si="4"/>
        <v>108568</v>
      </c>
      <c r="S30" s="2">
        <f t="shared" si="5"/>
        <v>5436.72</v>
      </c>
      <c r="T30" s="2">
        <f t="shared" si="6"/>
        <v>1</v>
      </c>
    </row>
    <row r="31" spans="1:20" x14ac:dyDescent="0.35">
      <c r="A31" s="2" t="s">
        <v>3</v>
      </c>
      <c r="B31" s="2">
        <v>1004</v>
      </c>
      <c r="C31" s="2">
        <v>-40.799999999999997</v>
      </c>
      <c r="D31" s="2">
        <v>2.83</v>
      </c>
      <c r="E31" s="2">
        <v>9.9</v>
      </c>
      <c r="F31" s="3">
        <v>2560</v>
      </c>
      <c r="G31" s="2">
        <v>0</v>
      </c>
      <c r="H31" s="2">
        <v>10.4</v>
      </c>
      <c r="I31" s="2">
        <v>464.8</v>
      </c>
      <c r="J31" s="2">
        <v>0.1</v>
      </c>
      <c r="K31" s="3">
        <v>2.8999999999999998E-10</v>
      </c>
      <c r="L31" s="2">
        <v>0.17799999999999999</v>
      </c>
      <c r="M31" s="2">
        <v>0.18099999999999999</v>
      </c>
      <c r="N31" s="2">
        <f t="shared" si="0"/>
        <v>0</v>
      </c>
      <c r="O31" s="2">
        <f t="shared" si="1"/>
        <v>1</v>
      </c>
      <c r="P31" s="2">
        <f t="shared" si="2"/>
        <v>0</v>
      </c>
      <c r="Q31" s="2">
        <f t="shared" si="3"/>
        <v>0</v>
      </c>
      <c r="R31" s="4">
        <f t="shared" si="4"/>
        <v>25344</v>
      </c>
      <c r="S31" s="2">
        <f t="shared" si="5"/>
        <v>4833.92</v>
      </c>
      <c r="T31" s="2">
        <f t="shared" si="6"/>
        <v>1</v>
      </c>
    </row>
    <row r="32" spans="1:20" x14ac:dyDescent="0.35">
      <c r="A32" s="2" t="s">
        <v>2</v>
      </c>
      <c r="B32" s="2">
        <v>51</v>
      </c>
      <c r="C32" s="2">
        <v>-40.4</v>
      </c>
      <c r="D32" s="2">
        <v>2.38</v>
      </c>
      <c r="E32" s="2">
        <v>77.8</v>
      </c>
      <c r="F32" s="3">
        <v>1040</v>
      </c>
      <c r="G32" s="2">
        <v>0</v>
      </c>
      <c r="H32" s="2">
        <v>15.5</v>
      </c>
      <c r="I32" s="2">
        <v>113.2</v>
      </c>
      <c r="J32" s="2">
        <v>0.1958</v>
      </c>
      <c r="K32" s="3">
        <v>8.9000000000000003E-11</v>
      </c>
      <c r="L32" s="2">
        <v>0.161</v>
      </c>
      <c r="M32" s="2">
        <v>0.15329999999999999</v>
      </c>
      <c r="N32" s="2">
        <f t="shared" si="0"/>
        <v>1</v>
      </c>
      <c r="O32" s="2">
        <f t="shared" si="1"/>
        <v>1</v>
      </c>
      <c r="P32" s="2">
        <f t="shared" si="2"/>
        <v>0</v>
      </c>
      <c r="Q32" s="2">
        <f t="shared" si="3"/>
        <v>1</v>
      </c>
      <c r="R32" s="4">
        <f t="shared" si="4"/>
        <v>80912</v>
      </c>
      <c r="S32" s="2">
        <f t="shared" si="5"/>
        <v>1754.6000000000001</v>
      </c>
      <c r="T32" s="2">
        <f t="shared" si="6"/>
        <v>1</v>
      </c>
    </row>
    <row r="33" spans="1:20" x14ac:dyDescent="0.35">
      <c r="A33" s="2" t="s">
        <v>2</v>
      </c>
      <c r="B33" s="2">
        <v>69.900000000000006</v>
      </c>
      <c r="C33" s="2">
        <v>-40.299999999999997</v>
      </c>
      <c r="D33" s="2">
        <v>2.4900000000000002</v>
      </c>
      <c r="E33" s="2">
        <v>54.2</v>
      </c>
      <c r="F33" s="3">
        <v>1760</v>
      </c>
      <c r="G33" s="2">
        <v>0</v>
      </c>
      <c r="H33" s="2">
        <v>26.1</v>
      </c>
      <c r="I33" s="2">
        <v>402.29</v>
      </c>
      <c r="J33" s="2">
        <v>0.12</v>
      </c>
      <c r="K33" s="2" t="s">
        <v>1</v>
      </c>
      <c r="L33" s="2">
        <v>0.1734</v>
      </c>
      <c r="M33" s="2">
        <v>0.2747</v>
      </c>
      <c r="N33" s="2">
        <f t="shared" si="0"/>
        <v>1</v>
      </c>
      <c r="O33" s="2">
        <f t="shared" si="1"/>
        <v>1</v>
      </c>
      <c r="P33" s="2">
        <f t="shared" si="2"/>
        <v>0</v>
      </c>
      <c r="Q33" s="2">
        <f t="shared" si="3"/>
        <v>0</v>
      </c>
      <c r="R33" s="4">
        <f t="shared" si="4"/>
        <v>95392</v>
      </c>
      <c r="S33" s="2">
        <f t="shared" si="5"/>
        <v>10499.769</v>
      </c>
      <c r="T33" s="2">
        <f t="shared" si="6"/>
        <v>1</v>
      </c>
    </row>
    <row r="34" spans="1:20" x14ac:dyDescent="0.35">
      <c r="A34" s="2" t="s">
        <v>2</v>
      </c>
      <c r="B34" s="2">
        <v>89</v>
      </c>
      <c r="C34" s="2">
        <v>-40.4</v>
      </c>
      <c r="D34" s="2">
        <v>2.65</v>
      </c>
      <c r="E34" s="2">
        <v>51.2</v>
      </c>
      <c r="F34" s="3">
        <v>1840</v>
      </c>
      <c r="G34" s="2">
        <v>0.01</v>
      </c>
      <c r="H34" s="2">
        <v>13.8</v>
      </c>
      <c r="I34" s="2">
        <v>207.58</v>
      </c>
      <c r="J34" s="2">
        <v>0.19</v>
      </c>
      <c r="K34" s="2" t="s">
        <v>1</v>
      </c>
      <c r="L34" s="2">
        <v>0.1807</v>
      </c>
      <c r="M34" s="2">
        <v>0.23480000000000001</v>
      </c>
      <c r="N34" s="2">
        <f t="shared" si="0"/>
        <v>1</v>
      </c>
      <c r="O34" s="2">
        <f t="shared" si="1"/>
        <v>1</v>
      </c>
      <c r="P34" s="2">
        <f t="shared" si="2"/>
        <v>0</v>
      </c>
      <c r="Q34" s="2">
        <f t="shared" si="3"/>
        <v>0</v>
      </c>
      <c r="R34" s="4">
        <f t="shared" si="4"/>
        <v>94208</v>
      </c>
      <c r="S34" s="2">
        <f t="shared" si="5"/>
        <v>2864.6040000000003</v>
      </c>
      <c r="T34" s="2">
        <f t="shared" si="6"/>
        <v>1</v>
      </c>
    </row>
    <row r="35" spans="1:20" x14ac:dyDescent="0.35">
      <c r="A35" s="2" t="s">
        <v>2</v>
      </c>
      <c r="B35" s="2">
        <v>92</v>
      </c>
      <c r="C35" s="2">
        <v>-40.200000000000003</v>
      </c>
      <c r="D35" s="2">
        <v>2.4300000000000002</v>
      </c>
      <c r="E35" s="2">
        <v>78</v>
      </c>
      <c r="F35" s="3">
        <v>465</v>
      </c>
      <c r="G35" s="2">
        <v>0.05</v>
      </c>
      <c r="H35" s="2" t="s">
        <v>1</v>
      </c>
      <c r="I35" s="2" t="s">
        <v>1</v>
      </c>
      <c r="J35" s="2" t="s">
        <v>1</v>
      </c>
      <c r="K35" s="3">
        <v>1.74E-9</v>
      </c>
      <c r="L35" s="2">
        <v>0.18659999999999999</v>
      </c>
      <c r="M35" s="2">
        <v>0.2409</v>
      </c>
      <c r="N35" s="2" t="str">
        <f t="shared" si="0"/>
        <v>n/a</v>
      </c>
      <c r="O35" s="2" t="str">
        <f t="shared" si="1"/>
        <v>n/a</v>
      </c>
      <c r="P35" s="2" t="str">
        <f t="shared" si="2"/>
        <v>n/a</v>
      </c>
      <c r="Q35" s="2">
        <f t="shared" si="3"/>
        <v>0</v>
      </c>
      <c r="R35" s="4">
        <f t="shared" si="4"/>
        <v>36270</v>
      </c>
      <c r="S35" s="2" t="str">
        <f t="shared" si="5"/>
        <v>n/a</v>
      </c>
      <c r="T35" s="2" t="str">
        <f t="shared" si="6"/>
        <v>n/a</v>
      </c>
    </row>
    <row r="36" spans="1:20" x14ac:dyDescent="0.35">
      <c r="A36" s="2" t="s">
        <v>29</v>
      </c>
      <c r="B36" s="2">
        <v>102.11</v>
      </c>
      <c r="C36" s="2">
        <v>-40.4</v>
      </c>
      <c r="D36" s="2">
        <v>2.75</v>
      </c>
      <c r="E36" s="2">
        <v>61.22</v>
      </c>
      <c r="F36" s="3">
        <v>1250</v>
      </c>
      <c r="G36" s="2">
        <v>8.5099999999999995E-2</v>
      </c>
      <c r="H36" s="2" t="s">
        <v>1</v>
      </c>
      <c r="I36" s="2" t="s">
        <v>1</v>
      </c>
      <c r="J36" s="2" t="s">
        <v>1</v>
      </c>
      <c r="K36" s="3">
        <v>2.3300000000000002E-10</v>
      </c>
      <c r="L36" s="2">
        <v>0.18759999999999999</v>
      </c>
      <c r="M36" s="2">
        <v>0.28749999999999998</v>
      </c>
      <c r="N36" s="2" t="str">
        <f t="shared" si="0"/>
        <v>n/a</v>
      </c>
      <c r="O36" s="2" t="str">
        <f t="shared" si="1"/>
        <v>n/a</v>
      </c>
      <c r="P36" s="2" t="str">
        <f t="shared" si="2"/>
        <v>n/a</v>
      </c>
      <c r="Q36" s="2">
        <f t="shared" si="3"/>
        <v>0</v>
      </c>
      <c r="R36" s="4">
        <f t="shared" si="4"/>
        <v>76525</v>
      </c>
      <c r="S36" s="2" t="str">
        <f t="shared" si="5"/>
        <v>n/a</v>
      </c>
      <c r="T36" s="2" t="str">
        <f t="shared" si="6"/>
        <v>n/a</v>
      </c>
    </row>
    <row r="37" spans="1:20" x14ac:dyDescent="0.35">
      <c r="A37" s="2" t="s">
        <v>29</v>
      </c>
      <c r="B37" s="2">
        <v>374.89</v>
      </c>
      <c r="C37" s="2">
        <v>-40.299999999999997</v>
      </c>
      <c r="D37" s="2">
        <v>2.79</v>
      </c>
      <c r="E37" s="2">
        <v>27.4</v>
      </c>
      <c r="F37" s="3">
        <v>4170</v>
      </c>
      <c r="G37" s="2">
        <v>0</v>
      </c>
      <c r="H37" s="2">
        <v>14.29</v>
      </c>
      <c r="I37" s="2">
        <v>230.1</v>
      </c>
      <c r="J37" s="2">
        <v>0.19</v>
      </c>
      <c r="K37" s="3">
        <v>7.9900000000000003E-11</v>
      </c>
      <c r="L37" s="2">
        <v>0.21329999999999999</v>
      </c>
      <c r="M37" s="2">
        <v>0.3</v>
      </c>
      <c r="N37" s="2">
        <f t="shared" si="0"/>
        <v>1</v>
      </c>
      <c r="O37" s="2">
        <f t="shared" si="1"/>
        <v>1</v>
      </c>
      <c r="P37" s="2">
        <f t="shared" si="2"/>
        <v>0</v>
      </c>
      <c r="Q37" s="2">
        <f t="shared" si="3"/>
        <v>0</v>
      </c>
      <c r="R37" s="4">
        <f t="shared" si="4"/>
        <v>114258</v>
      </c>
      <c r="S37" s="2">
        <f t="shared" si="5"/>
        <v>3288.1289999999999</v>
      </c>
      <c r="T37" s="2">
        <f t="shared" si="6"/>
        <v>1</v>
      </c>
    </row>
    <row r="38" spans="1:20" x14ac:dyDescent="0.35">
      <c r="A38" s="2" t="s">
        <v>29</v>
      </c>
      <c r="B38" s="2">
        <v>543.97</v>
      </c>
      <c r="C38" s="2">
        <v>-40.299999999999997</v>
      </c>
      <c r="D38" s="2">
        <v>2.91</v>
      </c>
      <c r="E38" s="2">
        <v>59.2</v>
      </c>
      <c r="F38" s="3">
        <v>1780</v>
      </c>
      <c r="G38" s="2">
        <v>0</v>
      </c>
      <c r="H38" s="2">
        <v>22.2</v>
      </c>
      <c r="I38" s="2">
        <v>211.3</v>
      </c>
      <c r="J38" s="2">
        <v>0.08</v>
      </c>
      <c r="K38" s="3">
        <v>3.45E-10</v>
      </c>
      <c r="L38" s="2">
        <v>0.20599999999999999</v>
      </c>
      <c r="M38" s="2">
        <v>0.25750000000000001</v>
      </c>
      <c r="N38" s="2">
        <f t="shared" si="0"/>
        <v>1</v>
      </c>
      <c r="O38" s="2">
        <f t="shared" si="1"/>
        <v>1</v>
      </c>
      <c r="P38" s="2">
        <f t="shared" si="2"/>
        <v>0</v>
      </c>
      <c r="Q38" s="2">
        <f t="shared" si="3"/>
        <v>0</v>
      </c>
      <c r="R38" s="4">
        <f t="shared" si="4"/>
        <v>105376</v>
      </c>
      <c r="S38" s="2">
        <f t="shared" si="5"/>
        <v>4690.8599999999997</v>
      </c>
      <c r="T38" s="2">
        <f t="shared" si="6"/>
        <v>1</v>
      </c>
    </row>
    <row r="39" spans="1:20" x14ac:dyDescent="0.35">
      <c r="A39" s="2" t="s">
        <v>21</v>
      </c>
      <c r="B39" s="2">
        <v>429</v>
      </c>
      <c r="C39" s="2">
        <v>-40.299999999999997</v>
      </c>
      <c r="D39" s="2">
        <v>2.96</v>
      </c>
      <c r="E39" s="2">
        <v>88.6</v>
      </c>
      <c r="F39" s="3">
        <v>1300</v>
      </c>
      <c r="G39" s="2">
        <v>0</v>
      </c>
      <c r="H39" s="2">
        <v>176.8</v>
      </c>
      <c r="I39" s="2">
        <v>106.5</v>
      </c>
      <c r="J39" s="2">
        <v>0</v>
      </c>
      <c r="K39" s="3">
        <v>9.6799999999999997E-9</v>
      </c>
      <c r="L39" s="2">
        <v>0.20399999999999999</v>
      </c>
      <c r="M39" s="2">
        <v>0.27</v>
      </c>
      <c r="N39" s="2">
        <f t="shared" si="0"/>
        <v>0</v>
      </c>
      <c r="O39" s="2">
        <f t="shared" si="1"/>
        <v>1</v>
      </c>
      <c r="P39" s="2">
        <f t="shared" si="2"/>
        <v>0</v>
      </c>
      <c r="Q39" s="2">
        <f t="shared" si="3"/>
        <v>0</v>
      </c>
      <c r="R39" s="4">
        <f t="shared" si="4"/>
        <v>115179.99999999999</v>
      </c>
      <c r="S39" s="2">
        <f t="shared" si="5"/>
        <v>18829.2</v>
      </c>
      <c r="T39" s="2">
        <f t="shared" si="6"/>
        <v>1</v>
      </c>
    </row>
    <row r="40" spans="1:20" x14ac:dyDescent="0.35">
      <c r="A40" s="2" t="s">
        <v>21</v>
      </c>
      <c r="B40" s="2">
        <v>2044</v>
      </c>
      <c r="C40" s="2">
        <v>-40.4</v>
      </c>
      <c r="D40" s="2">
        <v>2.97</v>
      </c>
      <c r="E40" s="2">
        <v>54.8</v>
      </c>
      <c r="F40" s="3">
        <v>2390</v>
      </c>
      <c r="G40" s="2">
        <v>0</v>
      </c>
      <c r="H40" s="2">
        <v>42.6</v>
      </c>
      <c r="I40" s="2">
        <v>361.2</v>
      </c>
      <c r="J40" s="2">
        <v>0.04</v>
      </c>
      <c r="K40" s="3">
        <v>1.02E-9</v>
      </c>
      <c r="L40" s="2">
        <v>0.1933</v>
      </c>
      <c r="M40" s="2">
        <v>0.28299999999999997</v>
      </c>
      <c r="N40" s="2">
        <f t="shared" si="0"/>
        <v>1</v>
      </c>
      <c r="O40" s="2">
        <f t="shared" si="1"/>
        <v>1</v>
      </c>
      <c r="P40" s="2">
        <f t="shared" si="2"/>
        <v>0</v>
      </c>
      <c r="Q40" s="2">
        <f t="shared" si="3"/>
        <v>0</v>
      </c>
      <c r="R40" s="4">
        <f t="shared" si="4"/>
        <v>130972</v>
      </c>
      <c r="S40" s="2">
        <f t="shared" si="5"/>
        <v>15387.12</v>
      </c>
      <c r="T40" s="2">
        <f t="shared" si="6"/>
        <v>1</v>
      </c>
    </row>
    <row r="41" spans="1:20" x14ac:dyDescent="0.35">
      <c r="A41" s="2" t="s">
        <v>21</v>
      </c>
      <c r="B41" s="2">
        <v>3478</v>
      </c>
      <c r="C41" s="2">
        <v>-39.9</v>
      </c>
      <c r="D41" s="2">
        <v>2.91</v>
      </c>
      <c r="E41" s="2">
        <v>57.8</v>
      </c>
      <c r="F41" s="3">
        <v>1080</v>
      </c>
      <c r="G41" s="2">
        <v>0</v>
      </c>
      <c r="H41" s="2">
        <v>60.1</v>
      </c>
      <c r="I41" s="2">
        <v>124.3</v>
      </c>
      <c r="J41" s="2">
        <v>0.05</v>
      </c>
      <c r="K41" s="3">
        <v>1.62E-9</v>
      </c>
      <c r="L41" s="2">
        <v>0.188</v>
      </c>
      <c r="M41" s="2">
        <v>0.3</v>
      </c>
      <c r="N41" s="2">
        <f t="shared" si="0"/>
        <v>0</v>
      </c>
      <c r="O41" s="2">
        <f t="shared" si="1"/>
        <v>1</v>
      </c>
      <c r="P41" s="2">
        <f t="shared" si="2"/>
        <v>0</v>
      </c>
      <c r="Q41" s="2">
        <f t="shared" si="3"/>
        <v>0</v>
      </c>
      <c r="R41" s="4">
        <f t="shared" si="4"/>
        <v>62424</v>
      </c>
      <c r="S41" s="2">
        <f t="shared" si="5"/>
        <v>7470.43</v>
      </c>
      <c r="T41" s="2">
        <f t="shared" si="6"/>
        <v>1</v>
      </c>
    </row>
    <row r="42" spans="1:20" x14ac:dyDescent="0.35">
      <c r="A42" s="2" t="s">
        <v>31</v>
      </c>
      <c r="B42" s="2">
        <v>3552</v>
      </c>
      <c r="C42" s="2">
        <v>-40.299999999999997</v>
      </c>
      <c r="D42" s="2">
        <v>3.02</v>
      </c>
      <c r="E42" s="2">
        <v>62.1</v>
      </c>
      <c r="F42" s="3">
        <v>5950</v>
      </c>
      <c r="G42" s="2">
        <v>0.01</v>
      </c>
      <c r="H42" s="2" t="s">
        <v>1</v>
      </c>
      <c r="I42" s="2" t="s">
        <v>1</v>
      </c>
      <c r="J42" s="2" t="s">
        <v>1</v>
      </c>
      <c r="K42" s="2" t="s">
        <v>1</v>
      </c>
      <c r="L42" s="2">
        <v>0.26079999999999998</v>
      </c>
      <c r="M42" s="2" t="s">
        <v>1</v>
      </c>
      <c r="N42" s="2" t="str">
        <f t="shared" si="0"/>
        <v>n/a</v>
      </c>
      <c r="O42" s="2" t="str">
        <f t="shared" si="1"/>
        <v>n/a</v>
      </c>
      <c r="P42" s="2" t="str">
        <f t="shared" si="2"/>
        <v>n/a</v>
      </c>
      <c r="Q42" s="2" t="str">
        <f t="shared" si="3"/>
        <v>n/a</v>
      </c>
      <c r="R42" s="4">
        <f t="shared" si="4"/>
        <v>369495</v>
      </c>
      <c r="S42" s="2" t="str">
        <f t="shared" si="5"/>
        <v>n/a</v>
      </c>
      <c r="T42" s="2" t="str">
        <f t="shared" si="6"/>
        <v>n/a</v>
      </c>
    </row>
    <row r="43" spans="1:20" x14ac:dyDescent="0.35">
      <c r="A43" s="2" t="s">
        <v>31</v>
      </c>
      <c r="B43" s="2">
        <v>3565</v>
      </c>
      <c r="C43" s="2">
        <v>-40.1</v>
      </c>
      <c r="D43" s="2">
        <v>2.9</v>
      </c>
      <c r="E43" s="2">
        <v>50.3</v>
      </c>
      <c r="F43" s="3">
        <v>5530</v>
      </c>
      <c r="G43" s="2">
        <v>3.5000000000000003E-2</v>
      </c>
      <c r="H43" s="2" t="s">
        <v>1</v>
      </c>
      <c r="I43" s="2" t="s">
        <v>1</v>
      </c>
      <c r="J43" s="2" t="s">
        <v>1</v>
      </c>
      <c r="K43" s="2" t="s">
        <v>1</v>
      </c>
      <c r="L43" s="2">
        <v>0.24379999999999999</v>
      </c>
      <c r="M43" s="2" t="s">
        <v>1</v>
      </c>
      <c r="N43" s="2" t="str">
        <f t="shared" si="0"/>
        <v>n/a</v>
      </c>
      <c r="O43" s="2" t="str">
        <f t="shared" si="1"/>
        <v>n/a</v>
      </c>
      <c r="P43" s="2" t="str">
        <f t="shared" si="2"/>
        <v>n/a</v>
      </c>
      <c r="Q43" s="2" t="str">
        <f t="shared" si="3"/>
        <v>n/a</v>
      </c>
      <c r="R43" s="4">
        <f t="shared" si="4"/>
        <v>278159</v>
      </c>
      <c r="S43" s="2" t="str">
        <f t="shared" si="5"/>
        <v>n/a</v>
      </c>
      <c r="T43" s="2" t="str">
        <f t="shared" si="6"/>
        <v>n/a</v>
      </c>
    </row>
    <row r="44" spans="1:20" x14ac:dyDescent="0.35">
      <c r="A44" s="2" t="s">
        <v>31</v>
      </c>
      <c r="B44" s="2">
        <v>3576</v>
      </c>
      <c r="C44" s="2">
        <v>-39.799999999999997</v>
      </c>
      <c r="D44" s="2">
        <v>2.83</v>
      </c>
      <c r="E44" s="2">
        <v>55.7</v>
      </c>
      <c r="F44" s="3">
        <v>4160</v>
      </c>
      <c r="G44" s="2">
        <v>2.5000000000000001E-2</v>
      </c>
      <c r="H44" s="2" t="s">
        <v>1</v>
      </c>
      <c r="I44" s="2" t="s">
        <v>1</v>
      </c>
      <c r="J44" s="2" t="s">
        <v>1</v>
      </c>
      <c r="K44" s="2" t="s">
        <v>1</v>
      </c>
      <c r="L44" s="2">
        <v>0.25769999999999998</v>
      </c>
      <c r="M44" s="2" t="s">
        <v>1</v>
      </c>
      <c r="N44" s="2" t="str">
        <f t="shared" si="0"/>
        <v>n/a</v>
      </c>
      <c r="O44" s="2" t="str">
        <f t="shared" si="1"/>
        <v>n/a</v>
      </c>
      <c r="P44" s="2" t="str">
        <f t="shared" si="2"/>
        <v>n/a</v>
      </c>
      <c r="Q44" s="2" t="str">
        <f t="shared" si="3"/>
        <v>n/a</v>
      </c>
      <c r="R44" s="4">
        <f t="shared" si="4"/>
        <v>231712</v>
      </c>
      <c r="S44" s="2" t="str">
        <f t="shared" si="5"/>
        <v>n/a</v>
      </c>
      <c r="T44" s="2" t="str">
        <f t="shared" si="6"/>
        <v>n/a</v>
      </c>
    </row>
    <row r="45" spans="1:20" x14ac:dyDescent="0.35">
      <c r="A45" s="2" t="s">
        <v>30</v>
      </c>
      <c r="B45" s="2">
        <v>3608</v>
      </c>
      <c r="C45" s="2">
        <v>-40.200000000000003</v>
      </c>
      <c r="D45" s="2">
        <v>3.13</v>
      </c>
      <c r="E45" s="2">
        <v>48.5</v>
      </c>
      <c r="F45" s="3">
        <v>301</v>
      </c>
      <c r="G45" s="2">
        <v>1.9199999999999998E-2</v>
      </c>
      <c r="H45" s="2" t="s">
        <v>1</v>
      </c>
      <c r="I45" s="2" t="s">
        <v>1</v>
      </c>
      <c r="J45" s="2" t="s">
        <v>1</v>
      </c>
      <c r="K45" s="2" t="s">
        <v>1</v>
      </c>
      <c r="L45" s="2">
        <v>0.54190000000000005</v>
      </c>
      <c r="M45" s="2" t="s">
        <v>1</v>
      </c>
      <c r="N45" s="2" t="str">
        <f t="shared" si="0"/>
        <v>n/a</v>
      </c>
      <c r="O45" s="2" t="str">
        <f t="shared" si="1"/>
        <v>n/a</v>
      </c>
      <c r="P45" s="2" t="str">
        <f t="shared" si="2"/>
        <v>n/a</v>
      </c>
      <c r="Q45" s="2" t="str">
        <f t="shared" si="3"/>
        <v>n/a</v>
      </c>
      <c r="R45" s="4">
        <f t="shared" si="4"/>
        <v>14598.5</v>
      </c>
      <c r="S45" s="2" t="str">
        <f t="shared" si="5"/>
        <v>n/a</v>
      </c>
      <c r="T45" s="2" t="str">
        <f t="shared" si="6"/>
        <v>n/a</v>
      </c>
    </row>
    <row r="46" spans="1:20" x14ac:dyDescent="0.35">
      <c r="A46" s="2" t="s">
        <v>30</v>
      </c>
      <c r="B46" s="2">
        <v>3610</v>
      </c>
      <c r="C46" s="2">
        <v>-40.299999999999997</v>
      </c>
      <c r="D46" s="2">
        <v>3.15</v>
      </c>
      <c r="E46" s="2">
        <v>61.6</v>
      </c>
      <c r="F46" s="3">
        <v>269</v>
      </c>
      <c r="G46" s="2">
        <v>1.8200000000000001E-2</v>
      </c>
      <c r="H46" s="2" t="s">
        <v>1</v>
      </c>
      <c r="I46" s="2" t="s">
        <v>1</v>
      </c>
      <c r="J46" s="2" t="s">
        <v>1</v>
      </c>
      <c r="K46" s="2" t="s">
        <v>1</v>
      </c>
      <c r="L46" s="2">
        <v>0.61219999999999997</v>
      </c>
      <c r="M46" s="2" t="s">
        <v>1</v>
      </c>
      <c r="N46" s="2" t="str">
        <f t="shared" si="0"/>
        <v>n/a</v>
      </c>
      <c r="O46" s="2" t="str">
        <f t="shared" si="1"/>
        <v>n/a</v>
      </c>
      <c r="P46" s="2" t="str">
        <f t="shared" si="2"/>
        <v>n/a</v>
      </c>
      <c r="Q46" s="2" t="str">
        <f t="shared" si="3"/>
        <v>n/a</v>
      </c>
      <c r="R46" s="4">
        <f t="shared" si="4"/>
        <v>16570.400000000001</v>
      </c>
      <c r="S46" s="2" t="str">
        <f t="shared" si="5"/>
        <v>n/a</v>
      </c>
      <c r="T46" s="2" t="str">
        <f t="shared" si="6"/>
        <v>n/a</v>
      </c>
    </row>
    <row r="47" spans="1:20" x14ac:dyDescent="0.35">
      <c r="A47" s="2" t="s">
        <v>0</v>
      </c>
      <c r="B47" s="2">
        <v>117</v>
      </c>
      <c r="C47" s="2">
        <v>-39.1</v>
      </c>
      <c r="D47" s="2">
        <v>3.03</v>
      </c>
      <c r="E47" s="2">
        <v>48.6</v>
      </c>
      <c r="F47" s="3">
        <v>2050</v>
      </c>
      <c r="G47" s="2">
        <v>0</v>
      </c>
      <c r="H47" s="2">
        <v>82.6</v>
      </c>
      <c r="I47" s="2">
        <v>259.8997</v>
      </c>
      <c r="J47" s="2">
        <v>7.4800000000000005E-2</v>
      </c>
      <c r="K47" s="3">
        <v>1.4200000000000001E-9</v>
      </c>
      <c r="L47" s="2">
        <v>0.24199999999999999</v>
      </c>
      <c r="M47" s="2">
        <v>0.27100000000000002</v>
      </c>
      <c r="N47" s="2">
        <f t="shared" si="0"/>
        <v>0</v>
      </c>
      <c r="O47" s="2">
        <f t="shared" si="1"/>
        <v>1</v>
      </c>
      <c r="P47" s="2">
        <f t="shared" si="2"/>
        <v>0</v>
      </c>
      <c r="Q47" s="2">
        <f t="shared" si="3"/>
        <v>0</v>
      </c>
      <c r="R47" s="4">
        <f t="shared" si="4"/>
        <v>99630</v>
      </c>
      <c r="S47" s="2">
        <f t="shared" si="5"/>
        <v>21467.715219999998</v>
      </c>
      <c r="T47" s="2">
        <f t="shared" si="6"/>
        <v>1</v>
      </c>
    </row>
    <row r="48" spans="1:20" x14ac:dyDescent="0.35">
      <c r="A48" s="2" t="s">
        <v>0</v>
      </c>
      <c r="B48" s="2">
        <v>210</v>
      </c>
      <c r="C48" s="2">
        <v>-40.200000000000003</v>
      </c>
      <c r="D48" s="2">
        <v>3.13</v>
      </c>
      <c r="E48" s="2">
        <v>104</v>
      </c>
      <c r="F48" s="3">
        <v>1050</v>
      </c>
      <c r="G48" s="2">
        <v>0</v>
      </c>
      <c r="H48" s="2">
        <v>58.8</v>
      </c>
      <c r="I48" s="2">
        <v>175.4</v>
      </c>
      <c r="J48" s="2">
        <v>5.4600000000000003E-2</v>
      </c>
      <c r="K48" s="3">
        <v>5.2899999999999997E-9</v>
      </c>
      <c r="L48" s="2">
        <v>0.17100000000000001</v>
      </c>
      <c r="M48" s="2">
        <v>0.27500000000000002</v>
      </c>
      <c r="N48" s="2">
        <f t="shared" si="0"/>
        <v>1</v>
      </c>
      <c r="O48" s="2">
        <f t="shared" si="1"/>
        <v>1</v>
      </c>
      <c r="P48" s="2">
        <f t="shared" si="2"/>
        <v>0</v>
      </c>
      <c r="Q48" s="2">
        <f t="shared" si="3"/>
        <v>0</v>
      </c>
      <c r="R48" s="4">
        <f t="shared" si="4"/>
        <v>109200</v>
      </c>
      <c r="S48" s="2">
        <f t="shared" si="5"/>
        <v>10313.52</v>
      </c>
      <c r="T48" s="2">
        <f t="shared" si="6"/>
        <v>1</v>
      </c>
    </row>
    <row r="49" spans="1:20" x14ac:dyDescent="0.35">
      <c r="A49" s="2" t="s">
        <v>0</v>
      </c>
      <c r="B49" s="2">
        <v>447</v>
      </c>
      <c r="C49" s="2">
        <v>-40.200000000000003</v>
      </c>
      <c r="D49" s="2">
        <v>2.93</v>
      </c>
      <c r="E49" s="2">
        <v>128.4</v>
      </c>
      <c r="F49" s="2">
        <v>924.2</v>
      </c>
      <c r="G49" s="2">
        <v>0</v>
      </c>
      <c r="H49" s="2">
        <v>139.1</v>
      </c>
      <c r="I49" s="2">
        <v>163.19999999999999</v>
      </c>
      <c r="J49" s="2">
        <v>0</v>
      </c>
      <c r="K49" s="3">
        <v>6.1499999999999996E-9</v>
      </c>
      <c r="L49" s="2">
        <v>0.19800000000000001</v>
      </c>
      <c r="M49" s="2">
        <v>0.67</v>
      </c>
      <c r="N49" s="2">
        <f t="shared" si="0"/>
        <v>0</v>
      </c>
      <c r="O49" s="2">
        <f t="shared" si="1"/>
        <v>1</v>
      </c>
      <c r="P49" s="2">
        <f t="shared" si="2"/>
        <v>0</v>
      </c>
      <c r="Q49" s="2">
        <f t="shared" si="3"/>
        <v>0</v>
      </c>
      <c r="R49" s="4">
        <f t="shared" si="4"/>
        <v>118667.28000000001</v>
      </c>
      <c r="S49" s="2">
        <f t="shared" si="5"/>
        <v>22701.119999999999</v>
      </c>
      <c r="T49" s="2">
        <f t="shared" si="6"/>
        <v>1</v>
      </c>
    </row>
    <row r="50" spans="1:20" x14ac:dyDescent="0.35">
      <c r="A50" s="2" t="s">
        <v>0</v>
      </c>
      <c r="B50" s="2">
        <v>575</v>
      </c>
      <c r="C50" s="2">
        <v>-40.700000000000003</v>
      </c>
      <c r="D50" s="2">
        <v>3.07</v>
      </c>
      <c r="E50" s="2">
        <v>120.9</v>
      </c>
      <c r="F50" s="2">
        <v>851.4</v>
      </c>
      <c r="G50" s="2">
        <v>0</v>
      </c>
      <c r="H50" s="2">
        <v>41.2</v>
      </c>
      <c r="I50" s="2">
        <v>163.30000000000001</v>
      </c>
      <c r="J50" s="2">
        <v>0</v>
      </c>
      <c r="K50" s="3">
        <v>5.8900000000000001E-9</v>
      </c>
      <c r="L50" s="2">
        <v>0.187</v>
      </c>
      <c r="M50" s="2">
        <v>0.22500000000000001</v>
      </c>
      <c r="N50" s="2">
        <f t="shared" si="0"/>
        <v>1</v>
      </c>
      <c r="O50" s="2">
        <f t="shared" si="1"/>
        <v>1</v>
      </c>
      <c r="P50" s="2">
        <f t="shared" si="2"/>
        <v>0</v>
      </c>
      <c r="Q50" s="2">
        <f t="shared" si="3"/>
        <v>0</v>
      </c>
      <c r="R50" s="4">
        <f t="shared" si="4"/>
        <v>102934.26000000001</v>
      </c>
      <c r="S50" s="2">
        <f t="shared" si="5"/>
        <v>6727.9600000000009</v>
      </c>
      <c r="T50" s="2">
        <f t="shared" si="6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E563-108B-4BF7-8775-C6A8AA3090D1}">
  <dimension ref="A1:M52"/>
  <sheetViews>
    <sheetView zoomScale="79" workbookViewId="0">
      <selection activeCell="H23" sqref="H23"/>
    </sheetView>
  </sheetViews>
  <sheetFormatPr defaultRowHeight="14.5" x14ac:dyDescent="0.35"/>
  <cols>
    <col min="3" max="3" width="9.90625" bestFit="1" customWidth="1"/>
    <col min="6" max="6" width="9.90625" bestFit="1" customWidth="1"/>
    <col min="8" max="8" width="8.7265625" customWidth="1"/>
    <col min="9" max="9" width="9.1796875" customWidth="1"/>
    <col min="10" max="10" width="8.7265625" customWidth="1"/>
  </cols>
  <sheetData>
    <row r="1" spans="1:13" x14ac:dyDescent="0.35">
      <c r="A1" t="s">
        <v>17</v>
      </c>
      <c r="B1" t="s">
        <v>14</v>
      </c>
      <c r="C1" t="s">
        <v>13</v>
      </c>
      <c r="D1" t="s">
        <v>18</v>
      </c>
      <c r="E1" t="s">
        <v>12</v>
      </c>
      <c r="F1" t="s">
        <v>11</v>
      </c>
      <c r="G1" t="s">
        <v>19</v>
      </c>
      <c r="H1" t="s">
        <v>10</v>
      </c>
      <c r="I1" t="s">
        <v>9</v>
      </c>
      <c r="J1" t="s">
        <v>8</v>
      </c>
      <c r="K1" t="s">
        <v>7</v>
      </c>
      <c r="L1" t="s">
        <v>32</v>
      </c>
      <c r="M1" t="s">
        <v>33</v>
      </c>
    </row>
    <row r="2" spans="1:13" x14ac:dyDescent="0.35">
      <c r="A2">
        <f>AVERAGE('Grimm et al. (2015)'!C2:C50)</f>
        <v>-40.597959183673474</v>
      </c>
      <c r="B2">
        <f>AVERAGE('Grimm et al. (2015)'!D2:D50)</f>
        <v>2.9008163265306122</v>
      </c>
      <c r="C2">
        <f>AVERAGE('Grimm et al. (2015)'!E2:E50)</f>
        <v>67.974540816326524</v>
      </c>
      <c r="D2">
        <f>AVERAGE('Grimm et al. (2015)'!F2:F50)</f>
        <v>2748.491224489796</v>
      </c>
      <c r="E2">
        <f>AVERAGE('Grimm et al. (2015)'!G2:G50)</f>
        <v>1.8073469387755104E-2</v>
      </c>
      <c r="F2">
        <f>AVERAGE('Grimm et al. (2015)'!H2:H50)</f>
        <v>74.568033333333304</v>
      </c>
      <c r="G2">
        <f>AVERAGE('Grimm et al. (2015)'!I2:I50)</f>
        <v>330.80819259259266</v>
      </c>
      <c r="H2">
        <f>AVERAGE('Grimm et al. (2015)'!J2:J50)</f>
        <v>6.6585185185185192E-2</v>
      </c>
      <c r="I2">
        <f>AVERAGE('Grimm et al. (2015)'!K2:K50)</f>
        <v>3.3093230769230775E-9</v>
      </c>
      <c r="J2">
        <f>AVERAGE('Grimm et al. (2015)'!L2:L50)</f>
        <v>0.21911836734693879</v>
      </c>
      <c r="K2">
        <f>AVERAGE('Grimm et al. (2015)'!M2:M50)</f>
        <v>0.26329333333333332</v>
      </c>
      <c r="L2">
        <f>C2+B2</f>
        <v>70.875357142857141</v>
      </c>
      <c r="M2">
        <f>F2+B2</f>
        <v>77.46884965986392</v>
      </c>
    </row>
    <row r="3" spans="1:13" x14ac:dyDescent="0.35">
      <c r="D3" s="1"/>
      <c r="I3" s="1"/>
    </row>
    <row r="4" spans="1:13" x14ac:dyDescent="0.35">
      <c r="I4" s="1"/>
    </row>
    <row r="5" spans="1:13" x14ac:dyDescent="0.35">
      <c r="I5" s="1"/>
    </row>
    <row r="6" spans="1:13" x14ac:dyDescent="0.35">
      <c r="D6" s="1"/>
      <c r="I6" s="1"/>
    </row>
    <row r="7" spans="1:13" x14ac:dyDescent="0.35">
      <c r="D7" s="1"/>
      <c r="I7" s="1"/>
    </row>
    <row r="8" spans="1:13" x14ac:dyDescent="0.35">
      <c r="D8" s="1"/>
      <c r="I8" s="1"/>
    </row>
    <row r="9" spans="1:13" x14ac:dyDescent="0.35">
      <c r="D9" s="1"/>
      <c r="I9" s="1"/>
    </row>
    <row r="10" spans="1:13" x14ac:dyDescent="0.35">
      <c r="D10" s="1"/>
      <c r="I10" s="1"/>
    </row>
    <row r="11" spans="1:13" x14ac:dyDescent="0.35">
      <c r="D11" s="1"/>
      <c r="I11" s="1"/>
    </row>
    <row r="12" spans="1:13" x14ac:dyDescent="0.35">
      <c r="D12" s="1"/>
      <c r="G12" s="1"/>
      <c r="I12" s="1"/>
    </row>
    <row r="13" spans="1:13" x14ac:dyDescent="0.35">
      <c r="D13" s="1"/>
      <c r="I13" s="1"/>
    </row>
    <row r="14" spans="1:13" x14ac:dyDescent="0.35">
      <c r="D14" s="1"/>
      <c r="I14" s="1"/>
    </row>
    <row r="15" spans="1:13" x14ac:dyDescent="0.35">
      <c r="D15" s="1"/>
      <c r="I15" s="1"/>
    </row>
    <row r="16" spans="1:13" x14ac:dyDescent="0.35">
      <c r="D16" s="1"/>
      <c r="I16" s="1"/>
    </row>
    <row r="17" spans="4:9" x14ac:dyDescent="0.35">
      <c r="D17" s="1"/>
      <c r="I17" s="1"/>
    </row>
    <row r="18" spans="4:9" x14ac:dyDescent="0.35">
      <c r="D18" s="1"/>
      <c r="I18" s="1"/>
    </row>
    <row r="19" spans="4:9" x14ac:dyDescent="0.35">
      <c r="D19" s="1"/>
    </row>
    <row r="20" spans="4:9" x14ac:dyDescent="0.35">
      <c r="D20" s="1"/>
      <c r="I20" s="1"/>
    </row>
    <row r="21" spans="4:9" x14ac:dyDescent="0.35">
      <c r="D21" s="1"/>
      <c r="I21" s="1"/>
    </row>
    <row r="22" spans="4:9" x14ac:dyDescent="0.35">
      <c r="D22" s="1"/>
      <c r="I22" s="1"/>
    </row>
    <row r="23" spans="4:9" x14ac:dyDescent="0.35">
      <c r="D23" s="1"/>
      <c r="I23" s="1"/>
    </row>
    <row r="24" spans="4:9" x14ac:dyDescent="0.35">
      <c r="D24" s="1"/>
    </row>
    <row r="25" spans="4:9" x14ac:dyDescent="0.35">
      <c r="D25" s="1"/>
    </row>
    <row r="26" spans="4:9" x14ac:dyDescent="0.35">
      <c r="D26" s="1"/>
      <c r="I26" s="1"/>
    </row>
    <row r="27" spans="4:9" x14ac:dyDescent="0.35">
      <c r="D27" s="1"/>
      <c r="I27" s="1"/>
    </row>
    <row r="28" spans="4:9" x14ac:dyDescent="0.35">
      <c r="D28" s="1"/>
      <c r="I28" s="1"/>
    </row>
    <row r="29" spans="4:9" x14ac:dyDescent="0.35">
      <c r="I29" s="1"/>
    </row>
    <row r="30" spans="4:9" x14ac:dyDescent="0.35">
      <c r="D30" s="1"/>
      <c r="I30" s="1"/>
    </row>
    <row r="31" spans="4:9" x14ac:dyDescent="0.35">
      <c r="D31" s="1"/>
      <c r="I31" s="1"/>
    </row>
    <row r="32" spans="4:9" x14ac:dyDescent="0.35">
      <c r="D32" s="1"/>
      <c r="I32" s="1"/>
    </row>
    <row r="33" spans="4:9" x14ac:dyDescent="0.35">
      <c r="D33" s="1"/>
    </row>
    <row r="34" spans="4:9" x14ac:dyDescent="0.35">
      <c r="D34" s="1"/>
    </row>
    <row r="35" spans="4:9" x14ac:dyDescent="0.35">
      <c r="D35" s="1"/>
      <c r="I35" s="1"/>
    </row>
    <row r="36" spans="4:9" x14ac:dyDescent="0.35">
      <c r="D36" s="1"/>
      <c r="I36" s="1"/>
    </row>
    <row r="37" spans="4:9" x14ac:dyDescent="0.35">
      <c r="D37" s="1"/>
      <c r="I37" s="1"/>
    </row>
    <row r="38" spans="4:9" x14ac:dyDescent="0.35">
      <c r="D38" s="1"/>
      <c r="I38" s="1"/>
    </row>
    <row r="39" spans="4:9" x14ac:dyDescent="0.35">
      <c r="D39" s="1"/>
      <c r="I39" s="1"/>
    </row>
    <row r="40" spans="4:9" x14ac:dyDescent="0.35">
      <c r="D40" s="1"/>
      <c r="I40" s="1"/>
    </row>
    <row r="41" spans="4:9" x14ac:dyDescent="0.35">
      <c r="D41" s="1"/>
      <c r="I41" s="1"/>
    </row>
    <row r="42" spans="4:9" x14ac:dyDescent="0.35">
      <c r="D42" s="1"/>
    </row>
    <row r="43" spans="4:9" x14ac:dyDescent="0.35">
      <c r="D43" s="1"/>
    </row>
    <row r="44" spans="4:9" x14ac:dyDescent="0.35">
      <c r="D44" s="1"/>
    </row>
    <row r="45" spans="4:9" x14ac:dyDescent="0.35">
      <c r="D45" s="1"/>
    </row>
    <row r="46" spans="4:9" x14ac:dyDescent="0.35">
      <c r="D46" s="1"/>
    </row>
    <row r="47" spans="4:9" x14ac:dyDescent="0.35">
      <c r="D47" s="1"/>
      <c r="I47" s="1"/>
    </row>
    <row r="48" spans="4:9" x14ac:dyDescent="0.35">
      <c r="D48" s="1"/>
      <c r="I48" s="1"/>
    </row>
    <row r="49" spans="9:11" x14ac:dyDescent="0.35">
      <c r="I49" s="1"/>
    </row>
    <row r="50" spans="9:11" x14ac:dyDescent="0.35">
      <c r="I50" s="1"/>
    </row>
    <row r="52" spans="9:11" x14ac:dyDescent="0.35">
      <c r="I52" s="1"/>
      <c r="J52" s="1"/>
      <c r="K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Grimm et al. (2015)</vt:lpstr>
      <vt:lpstr>Mean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Wolfenbarger</dc:creator>
  <cp:lastModifiedBy>Natalie Wolfenbarger</cp:lastModifiedBy>
  <dcterms:created xsi:type="dcterms:W3CDTF">2024-11-29T22:54:40Z</dcterms:created>
  <dcterms:modified xsi:type="dcterms:W3CDTF">2026-07-07T13:52:28Z</dcterms:modified>
</cp:coreProperties>
</file>