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wol\Dropbox\Research\Projects\2024-Dawson-Attenuation\"/>
    </mc:Choice>
  </mc:AlternateContent>
  <xr:revisionPtr revIDLastSave="0" documentId="13_ncr:1_{8C5E92D8-061D-45E8-9793-B1B1BC3FA299}" xr6:coauthVersionLast="47" xr6:coauthVersionMax="47" xr10:uidLastSave="{00000000-0000-0000-0000-000000000000}"/>
  <bookViews>
    <workbookView xWindow="-110" yWindow="-110" windowWidth="19420" windowHeight="11500" tabRatio="853" activeTab="11" xr2:uid="{DF0FBD3C-F063-4945-8319-6C968E5D8EF5}"/>
  </bookViews>
  <sheets>
    <sheet name="Auty &amp; Cole (1952)" sheetId="5" r:id="rId1"/>
    <sheet name="Worz &amp; Cole (1969)" sheetId="15" r:id="rId2"/>
    <sheet name="Gough &amp; Davidson (1970)" sheetId="10" r:id="rId3"/>
    <sheet name="Hasted (1973)" sheetId="6" r:id="rId4"/>
    <sheet name="Johari &amp; Charette (1975)" sheetId="7" r:id="rId5"/>
    <sheet name="Johari &amp; Jones (1976) - D2O" sheetId="16" r:id="rId6"/>
    <sheet name="Johari &amp; Whalley (1981)" sheetId="11" r:id="rId7"/>
    <sheet name="Petrenko &amp; Whitworth (1999)" sheetId="8" r:id="rId8"/>
    <sheet name="Bittelli et al. (2004)" sheetId="9" r:id="rId9"/>
    <sheet name="Sasaki et al. (2016) - Iha" sheetId="12" r:id="rId10"/>
    <sheet name="Sasaki et al. (2016) - Ihb" sheetId="13" r:id="rId11"/>
    <sheet name="Sasaki et al. (2016) - Ihc" sheetId="14" r:id="rId12"/>
    <sheet name="Static Permittivity" sheetId="4" r:id="rId13"/>
    <sheet name="Relaxation Time" sheetId="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</calcChain>
</file>

<file path=xl/sharedStrings.xml><?xml version="1.0" encoding="utf-8"?>
<sst xmlns="http://schemas.openxmlformats.org/spreadsheetml/2006/main" count="488" uniqueCount="41">
  <si>
    <t>eps_inf</t>
  </si>
  <si>
    <t>T</t>
  </si>
  <si>
    <t>Auty &amp; Cole (1952)</t>
  </si>
  <si>
    <t>units</t>
  </si>
  <si>
    <t>C</t>
  </si>
  <si>
    <t>MHz</t>
  </si>
  <si>
    <t>frequency</t>
  </si>
  <si>
    <t>Wortz &amp; Cole (1969)</t>
  </si>
  <si>
    <t>Gough &amp; Davidson (1970)</t>
  </si>
  <si>
    <t>Johari &amp; Jones (1975)</t>
  </si>
  <si>
    <t>Kawada &amp; Niinuma (1977)</t>
  </si>
  <si>
    <t>Kawada (1978)</t>
  </si>
  <si>
    <t>Johari &amp; Whalley (1981)</t>
  </si>
  <si>
    <t>Tc</t>
  </si>
  <si>
    <t>Tmin</t>
  </si>
  <si>
    <t>Tmax</t>
  </si>
  <si>
    <t>A</t>
  </si>
  <si>
    <t>B</t>
  </si>
  <si>
    <t>J/mol</t>
  </si>
  <si>
    <t>kcal/mol</t>
  </si>
  <si>
    <t>Bittelli et al. (2004)</t>
  </si>
  <si>
    <t>Johari &amp; Jones (1978) - parallel</t>
  </si>
  <si>
    <t>Johari &amp; Jones (1978) - perpendicular</t>
  </si>
  <si>
    <t>Johari &amp; Jones (1978)  - parallel</t>
  </si>
  <si>
    <t>sigmaC</t>
  </si>
  <si>
    <t>sigmaTc</t>
  </si>
  <si>
    <t>source</t>
  </si>
  <si>
    <t>sigmaA</t>
  </si>
  <si>
    <t>sigmaB</t>
  </si>
  <si>
    <t>B2</t>
  </si>
  <si>
    <t>Johari &amp; Jones (1978)</t>
  </si>
  <si>
    <t>eps_s</t>
  </si>
  <si>
    <t>fr</t>
  </si>
  <si>
    <t>tau</t>
  </si>
  <si>
    <t>s</t>
  </si>
  <si>
    <t>Hz</t>
  </si>
  <si>
    <t>1/K</t>
  </si>
  <si>
    <t>1000/T</t>
  </si>
  <si>
    <t>tauT</t>
  </si>
  <si>
    <t>sK</t>
  </si>
  <si>
    <t>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</si>
</sst>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6CC7-6425-407A-88FD-98A6DEA00B3F}">
  <dimension ref="A1:F8"/>
  <sheetViews>
    <sheetView workbookViewId="0">
      <selection activeCell="D18" sqref="D18"/>
    </sheetView>
  </sheetViews>
  <sheetFormatPr defaultRowHeight="14.5" x14ac:dyDescent="0.35"/>
  <sheetData>
    <row r="1" spans="1:6" x14ac:dyDescent="0.35">
      <c r="A1" t="s">
        <v>1</v>
      </c>
      <c r="B1" t="s">
        <v>3</v>
      </c>
      <c r="C1" t="s">
        <v>31</v>
      </c>
      <c r="D1" t="s">
        <v>0</v>
      </c>
      <c r="E1" t="s">
        <v>33</v>
      </c>
      <c r="F1" t="s">
        <v>3</v>
      </c>
    </row>
    <row r="2" spans="1:6" x14ac:dyDescent="0.35">
      <c r="A2">
        <v>-0.1</v>
      </c>
      <c r="B2" t="s">
        <v>4</v>
      </c>
      <c r="C2">
        <v>91.5</v>
      </c>
      <c r="D2">
        <v>3.1</v>
      </c>
      <c r="E2" s="1">
        <v>2.1999999999999999E-5</v>
      </c>
      <c r="F2" t="s">
        <v>34</v>
      </c>
    </row>
    <row r="3" spans="1:6" x14ac:dyDescent="0.35">
      <c r="A3">
        <v>-10.8</v>
      </c>
      <c r="B3" t="s">
        <v>4</v>
      </c>
      <c r="C3">
        <v>95</v>
      </c>
      <c r="D3">
        <v>3.08</v>
      </c>
      <c r="E3" s="1">
        <v>6.0000000000000002E-5</v>
      </c>
      <c r="F3" t="s">
        <v>34</v>
      </c>
    </row>
    <row r="4" spans="1:6" x14ac:dyDescent="0.35">
      <c r="A4">
        <v>-20.9</v>
      </c>
      <c r="B4" t="s">
        <v>4</v>
      </c>
      <c r="C4">
        <v>97.4</v>
      </c>
      <c r="D4">
        <v>3.1</v>
      </c>
      <c r="E4" s="1">
        <v>1.64E-4</v>
      </c>
      <c r="F4" t="s">
        <v>34</v>
      </c>
    </row>
    <row r="5" spans="1:6" x14ac:dyDescent="0.35">
      <c r="A5">
        <v>-32</v>
      </c>
      <c r="B5" t="s">
        <v>4</v>
      </c>
      <c r="C5">
        <v>100</v>
      </c>
      <c r="D5">
        <v>3</v>
      </c>
      <c r="E5" s="1">
        <v>5.6999999999999998E-4</v>
      </c>
      <c r="F5" t="s">
        <v>34</v>
      </c>
    </row>
    <row r="6" spans="1:6" x14ac:dyDescent="0.35">
      <c r="A6">
        <v>-44.7</v>
      </c>
      <c r="B6" t="s">
        <v>4</v>
      </c>
      <c r="C6">
        <v>104</v>
      </c>
      <c r="D6">
        <v>3.1</v>
      </c>
      <c r="E6" s="1">
        <v>2.5200000000000001E-3</v>
      </c>
      <c r="F6" t="s">
        <v>34</v>
      </c>
    </row>
    <row r="7" spans="1:6" x14ac:dyDescent="0.35">
      <c r="A7">
        <v>-56.8</v>
      </c>
      <c r="B7" t="s">
        <v>4</v>
      </c>
      <c r="C7">
        <v>114</v>
      </c>
      <c r="D7">
        <v>3.1</v>
      </c>
      <c r="E7" s="1">
        <v>1.2E-2</v>
      </c>
      <c r="F7" t="s">
        <v>34</v>
      </c>
    </row>
    <row r="8" spans="1:6" x14ac:dyDescent="0.35">
      <c r="A8">
        <v>-65.8</v>
      </c>
      <c r="B8" t="s">
        <v>4</v>
      </c>
      <c r="C8">
        <v>133</v>
      </c>
      <c r="D8">
        <v>3.1</v>
      </c>
      <c r="E8" s="1">
        <v>4.4999999999999998E-2</v>
      </c>
      <c r="F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BC77-702D-4E8A-8252-47DC9224C610}">
  <dimension ref="A1:D28"/>
  <sheetViews>
    <sheetView workbookViewId="0">
      <selection activeCell="F2" sqref="F2"/>
    </sheetView>
  </sheetViews>
  <sheetFormatPr defaultRowHeight="14.5" x14ac:dyDescent="0.35"/>
  <cols>
    <col min="1" max="1" width="6.36328125" bestFit="1" customWidth="1"/>
    <col min="2" max="2" width="4.81640625" bestFit="1" customWidth="1"/>
    <col min="4" max="4" width="4.81640625" bestFit="1" customWidth="1"/>
  </cols>
  <sheetData>
    <row r="1" spans="1:4" x14ac:dyDescent="0.35">
      <c r="A1" t="s">
        <v>37</v>
      </c>
      <c r="B1" t="s">
        <v>3</v>
      </c>
      <c r="C1" s="2" t="s">
        <v>33</v>
      </c>
      <c r="D1" t="s">
        <v>3</v>
      </c>
    </row>
    <row r="2" spans="1:4" x14ac:dyDescent="0.35">
      <c r="A2">
        <v>3.71</v>
      </c>
      <c r="B2" t="s">
        <v>36</v>
      </c>
      <c r="C2" s="1">
        <v>2.69E-5</v>
      </c>
      <c r="D2" t="s">
        <v>34</v>
      </c>
    </row>
    <row r="3" spans="1:4" x14ac:dyDescent="0.35">
      <c r="A3">
        <v>3.72</v>
      </c>
      <c r="B3" t="s">
        <v>36</v>
      </c>
      <c r="C3" s="1">
        <v>2.83E-5</v>
      </c>
      <c r="D3" t="s">
        <v>34</v>
      </c>
    </row>
    <row r="4" spans="1:4" x14ac:dyDescent="0.35">
      <c r="A4">
        <v>3.71</v>
      </c>
      <c r="B4" t="s">
        <v>36</v>
      </c>
      <c r="C4" s="1">
        <v>3.1000000000000001E-5</v>
      </c>
      <c r="D4" t="s">
        <v>34</v>
      </c>
    </row>
    <row r="5" spans="1:4" x14ac:dyDescent="0.35">
      <c r="A5">
        <v>3.8</v>
      </c>
      <c r="B5" t="s">
        <v>36</v>
      </c>
      <c r="C5" s="1">
        <v>5.2200000000000002E-5</v>
      </c>
      <c r="D5" t="s">
        <v>34</v>
      </c>
    </row>
    <row r="6" spans="1:4" x14ac:dyDescent="0.35">
      <c r="A6">
        <v>3.85</v>
      </c>
      <c r="B6" t="s">
        <v>36</v>
      </c>
      <c r="C6" s="1">
        <v>7.4999999999999993E-5</v>
      </c>
      <c r="D6" t="s">
        <v>34</v>
      </c>
    </row>
    <row r="7" spans="1:4" x14ac:dyDescent="0.35">
      <c r="A7">
        <v>3.89</v>
      </c>
      <c r="B7" t="s">
        <v>36</v>
      </c>
      <c r="C7" s="1">
        <v>8.9300000000000002E-5</v>
      </c>
      <c r="D7" t="s">
        <v>34</v>
      </c>
    </row>
    <row r="8" spans="1:4" x14ac:dyDescent="0.35">
      <c r="A8">
        <v>3.97</v>
      </c>
      <c r="B8" t="s">
        <v>36</v>
      </c>
      <c r="C8" s="1">
        <v>1.73E-4</v>
      </c>
      <c r="D8" t="s">
        <v>34</v>
      </c>
    </row>
    <row r="9" spans="1:4" x14ac:dyDescent="0.35">
      <c r="A9">
        <v>4</v>
      </c>
      <c r="B9" t="s">
        <v>36</v>
      </c>
      <c r="C9" s="1">
        <v>2.0699999999999999E-4</v>
      </c>
      <c r="D9" t="s">
        <v>34</v>
      </c>
    </row>
    <row r="10" spans="1:4" x14ac:dyDescent="0.35">
      <c r="A10">
        <v>4.04</v>
      </c>
      <c r="B10" t="s">
        <v>36</v>
      </c>
      <c r="C10" s="1">
        <v>2.4899999999999998E-4</v>
      </c>
      <c r="D10" t="s">
        <v>34</v>
      </c>
    </row>
    <row r="11" spans="1:4" x14ac:dyDescent="0.35">
      <c r="A11">
        <v>4.04</v>
      </c>
      <c r="B11" t="s">
        <v>36</v>
      </c>
      <c r="C11" s="1">
        <v>2.99E-4</v>
      </c>
      <c r="D11" t="s">
        <v>34</v>
      </c>
    </row>
    <row r="12" spans="1:4" x14ac:dyDescent="0.35">
      <c r="A12">
        <v>4.08</v>
      </c>
      <c r="B12" t="s">
        <v>36</v>
      </c>
      <c r="C12" s="1">
        <v>3.6999999999999999E-4</v>
      </c>
      <c r="D12" t="s">
        <v>34</v>
      </c>
    </row>
    <row r="13" spans="1:4" x14ac:dyDescent="0.35">
      <c r="A13">
        <v>4.16</v>
      </c>
      <c r="B13" t="s">
        <v>36</v>
      </c>
      <c r="C13" s="1">
        <v>5.8E-4</v>
      </c>
      <c r="D13" t="s">
        <v>34</v>
      </c>
    </row>
    <row r="14" spans="1:4" x14ac:dyDescent="0.35">
      <c r="A14">
        <v>4.21</v>
      </c>
      <c r="B14" t="s">
        <v>36</v>
      </c>
      <c r="C14" s="1">
        <v>8.6600000000000002E-4</v>
      </c>
      <c r="D14" t="s">
        <v>34</v>
      </c>
    </row>
    <row r="15" spans="1:4" x14ac:dyDescent="0.35">
      <c r="A15">
        <v>4.24</v>
      </c>
      <c r="B15" t="s">
        <v>36</v>
      </c>
      <c r="C15" s="1">
        <v>9.1600000000000004E-4</v>
      </c>
      <c r="D15" t="s">
        <v>34</v>
      </c>
    </row>
    <row r="16" spans="1:4" x14ac:dyDescent="0.35">
      <c r="A16">
        <v>4.26</v>
      </c>
      <c r="B16" t="s">
        <v>36</v>
      </c>
      <c r="C16" s="1">
        <v>9.6299999999999999E-4</v>
      </c>
      <c r="D16" t="s">
        <v>34</v>
      </c>
    </row>
    <row r="17" spans="1:4" x14ac:dyDescent="0.35">
      <c r="A17">
        <v>4.3</v>
      </c>
      <c r="B17" t="s">
        <v>36</v>
      </c>
      <c r="C17" s="1">
        <v>1.24E-3</v>
      </c>
      <c r="D17" t="s">
        <v>34</v>
      </c>
    </row>
    <row r="18" spans="1:4" x14ac:dyDescent="0.35">
      <c r="A18">
        <v>4.3899999999999997</v>
      </c>
      <c r="B18" t="s">
        <v>36</v>
      </c>
      <c r="C18" s="1">
        <v>2.1900000000000001E-3</v>
      </c>
      <c r="D18" t="s">
        <v>34</v>
      </c>
    </row>
    <row r="19" spans="1:4" x14ac:dyDescent="0.35">
      <c r="A19">
        <v>4.3899999999999997</v>
      </c>
      <c r="B19" t="s">
        <v>36</v>
      </c>
      <c r="C19" s="1">
        <v>2.3999999999999998E-3</v>
      </c>
      <c r="D19" t="s">
        <v>34</v>
      </c>
    </row>
    <row r="20" spans="1:4" x14ac:dyDescent="0.35">
      <c r="A20">
        <v>4.43</v>
      </c>
      <c r="B20" t="s">
        <v>36</v>
      </c>
      <c r="C20" s="1">
        <v>2.4599999999999999E-3</v>
      </c>
      <c r="D20" t="s">
        <v>34</v>
      </c>
    </row>
    <row r="21" spans="1:4" x14ac:dyDescent="0.35">
      <c r="A21">
        <v>4.55</v>
      </c>
      <c r="B21" t="s">
        <v>36</v>
      </c>
      <c r="C21" s="1">
        <v>4.8399999999999997E-3</v>
      </c>
      <c r="D21" t="s">
        <v>34</v>
      </c>
    </row>
    <row r="22" spans="1:4" x14ac:dyDescent="0.35">
      <c r="A22">
        <v>4.57</v>
      </c>
      <c r="B22" t="s">
        <v>36</v>
      </c>
      <c r="C22" s="1">
        <v>4.5700000000000003E-3</v>
      </c>
      <c r="D22" t="s">
        <v>34</v>
      </c>
    </row>
    <row r="23" spans="1:4" x14ac:dyDescent="0.35">
      <c r="A23">
        <v>4.7300000000000004</v>
      </c>
      <c r="B23" t="s">
        <v>36</v>
      </c>
      <c r="C23" s="1">
        <v>8.8199999999999997E-3</v>
      </c>
      <c r="D23" t="s">
        <v>34</v>
      </c>
    </row>
    <row r="24" spans="1:4" x14ac:dyDescent="0.35">
      <c r="A24">
        <v>4.74</v>
      </c>
      <c r="B24" t="s">
        <v>36</v>
      </c>
      <c r="C24" s="1">
        <v>8.2900000000000005E-3</v>
      </c>
      <c r="D24" t="s">
        <v>34</v>
      </c>
    </row>
    <row r="25" spans="1:4" x14ac:dyDescent="0.35">
      <c r="A25">
        <v>4.87</v>
      </c>
      <c r="B25" t="s">
        <v>36</v>
      </c>
      <c r="C25" s="1">
        <v>1.21E-2</v>
      </c>
      <c r="D25" t="s">
        <v>34</v>
      </c>
    </row>
    <row r="26" spans="1:4" x14ac:dyDescent="0.35">
      <c r="A26">
        <v>4.88</v>
      </c>
      <c r="B26" t="s">
        <v>36</v>
      </c>
      <c r="C26" s="1">
        <v>1.3899999999999999E-2</v>
      </c>
      <c r="D26" t="s">
        <v>34</v>
      </c>
    </row>
    <row r="27" spans="1:4" x14ac:dyDescent="0.35">
      <c r="A27">
        <v>5.13</v>
      </c>
      <c r="B27" t="s">
        <v>36</v>
      </c>
      <c r="C27" s="1">
        <v>2.2100000000000002E-2</v>
      </c>
      <c r="D27" t="s">
        <v>34</v>
      </c>
    </row>
    <row r="28" spans="1:4" x14ac:dyDescent="0.35">
      <c r="A28">
        <v>5.23</v>
      </c>
      <c r="B28" t="s">
        <v>36</v>
      </c>
      <c r="C28" s="1">
        <v>3.1399999999999997E-2</v>
      </c>
      <c r="D28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CFA1-D1E4-4C0B-AAF9-5C87AF2E8427}">
  <dimension ref="A1:D17"/>
  <sheetViews>
    <sheetView topLeftCell="CW1" workbookViewId="0">
      <selection activeCell="AC10" sqref="AC10"/>
    </sheetView>
  </sheetViews>
  <sheetFormatPr defaultRowHeight="14.5" x14ac:dyDescent="0.35"/>
  <cols>
    <col min="2" max="2" width="4.81640625" bestFit="1" customWidth="1"/>
    <col min="3" max="3" width="8" style="2" bestFit="1" customWidth="1"/>
    <col min="4" max="4" width="4.81640625" bestFit="1" customWidth="1"/>
    <col min="6" max="6" width="11.81640625" bestFit="1" customWidth="1"/>
  </cols>
  <sheetData>
    <row r="1" spans="1:4" x14ac:dyDescent="0.35">
      <c r="A1" t="s">
        <v>37</v>
      </c>
      <c r="B1" t="s">
        <v>3</v>
      </c>
      <c r="C1" s="2" t="s">
        <v>33</v>
      </c>
      <c r="D1" t="s">
        <v>3</v>
      </c>
    </row>
    <row r="2" spans="1:4" x14ac:dyDescent="0.35">
      <c r="A2">
        <v>3.67</v>
      </c>
      <c r="B2" t="s">
        <v>36</v>
      </c>
      <c r="C2" s="1">
        <v>2.1800000000000001E-5</v>
      </c>
      <c r="D2" t="s">
        <v>34</v>
      </c>
    </row>
    <row r="3" spans="1:4" x14ac:dyDescent="0.35">
      <c r="A3">
        <v>3.81</v>
      </c>
      <c r="B3" t="s">
        <v>36</v>
      </c>
      <c r="C3" s="1">
        <v>5.8900000000000002E-5</v>
      </c>
      <c r="D3" t="s">
        <v>34</v>
      </c>
    </row>
    <row r="4" spans="1:4" x14ac:dyDescent="0.35">
      <c r="A4">
        <v>3.97</v>
      </c>
      <c r="B4" t="s">
        <v>36</v>
      </c>
      <c r="C4" s="1">
        <v>1.64E-4</v>
      </c>
      <c r="D4" t="s">
        <v>34</v>
      </c>
    </row>
    <row r="5" spans="1:4" x14ac:dyDescent="0.35">
      <c r="A5">
        <v>4.1500000000000004</v>
      </c>
      <c r="B5" t="s">
        <v>36</v>
      </c>
      <c r="C5" s="1">
        <v>5.5999999999999995E-4</v>
      </c>
      <c r="D5" t="s">
        <v>34</v>
      </c>
    </row>
    <row r="6" spans="1:4" x14ac:dyDescent="0.35">
      <c r="A6">
        <v>4.37</v>
      </c>
      <c r="B6" t="s">
        <v>36</v>
      </c>
      <c r="C6" s="1">
        <v>2.5200000000000001E-3</v>
      </c>
      <c r="D6" t="s">
        <v>34</v>
      </c>
    </row>
    <row r="7" spans="1:4" x14ac:dyDescent="0.35">
      <c r="A7">
        <v>4.62</v>
      </c>
      <c r="B7" t="s">
        <v>36</v>
      </c>
      <c r="C7" s="1">
        <v>1.1900000000000001E-2</v>
      </c>
      <c r="D7" t="s">
        <v>34</v>
      </c>
    </row>
    <row r="8" spans="1:4" x14ac:dyDescent="0.35">
      <c r="A8">
        <v>4.82</v>
      </c>
      <c r="B8" t="s">
        <v>36</v>
      </c>
      <c r="C8" s="1">
        <v>4.5600000000000002E-2</v>
      </c>
      <c r="D8" t="s">
        <v>34</v>
      </c>
    </row>
    <row r="11" spans="1:4" x14ac:dyDescent="0.35">
      <c r="A11" s="1"/>
    </row>
    <row r="12" spans="1:4" x14ac:dyDescent="0.35">
      <c r="A12" s="1"/>
    </row>
    <row r="13" spans="1:4" x14ac:dyDescent="0.35">
      <c r="A13" s="1"/>
    </row>
    <row r="14" spans="1:4" x14ac:dyDescent="0.35">
      <c r="A14" s="1"/>
    </row>
    <row r="15" spans="1:4" x14ac:dyDescent="0.35">
      <c r="A15" s="1"/>
    </row>
    <row r="16" spans="1:4" x14ac:dyDescent="0.35">
      <c r="A16" s="1"/>
    </row>
    <row r="17" spans="1:1" x14ac:dyDescent="0.35">
      <c r="A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3A00-813B-468D-9E63-B9636C5936AC}">
  <dimension ref="A1:C11"/>
  <sheetViews>
    <sheetView workbookViewId="0">
      <selection activeCell="H18" sqref="H1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>
        <v>3.141</v>
      </c>
      <c r="B2">
        <v>-30</v>
      </c>
      <c r="C2" t="s">
        <v>4</v>
      </c>
    </row>
    <row r="3" spans="1:3" x14ac:dyDescent="0.35">
      <c r="A3">
        <v>3.15</v>
      </c>
      <c r="B3">
        <v>-25</v>
      </c>
      <c r="C3" t="s">
        <v>4</v>
      </c>
    </row>
    <row r="4" spans="1:3" x14ac:dyDescent="0.35">
      <c r="A4">
        <v>3.1589999999999998</v>
      </c>
      <c r="B4">
        <v>-20</v>
      </c>
      <c r="C4" t="s">
        <v>4</v>
      </c>
    </row>
    <row r="5" spans="1:3" x14ac:dyDescent="0.35">
      <c r="A5">
        <v>3.1680000000000001</v>
      </c>
      <c r="B5">
        <v>-15</v>
      </c>
      <c r="C5" t="s">
        <v>4</v>
      </c>
    </row>
    <row r="6" spans="1:3" x14ac:dyDescent="0.35">
      <c r="A6">
        <v>3.177</v>
      </c>
      <c r="B6">
        <v>-10</v>
      </c>
      <c r="C6" t="s">
        <v>4</v>
      </c>
    </row>
    <row r="7" spans="1:3" x14ac:dyDescent="0.35">
      <c r="A7">
        <v>3.1859999999999999</v>
      </c>
      <c r="B7">
        <v>-5</v>
      </c>
      <c r="C7" t="s">
        <v>4</v>
      </c>
    </row>
    <row r="8" spans="1:3" x14ac:dyDescent="0.35">
      <c r="A8">
        <v>3.19</v>
      </c>
      <c r="B8">
        <v>-3</v>
      </c>
      <c r="C8" t="s">
        <v>4</v>
      </c>
    </row>
    <row r="9" spans="1:3" x14ac:dyDescent="0.35">
      <c r="A9">
        <v>3.194</v>
      </c>
      <c r="B9">
        <v>-1</v>
      </c>
      <c r="C9" t="s">
        <v>4</v>
      </c>
    </row>
    <row r="10" spans="1:3" x14ac:dyDescent="0.35">
      <c r="A10">
        <v>3.1949999999999998</v>
      </c>
      <c r="B10">
        <v>-0.1</v>
      </c>
      <c r="C10" t="s">
        <v>4</v>
      </c>
    </row>
    <row r="11" spans="1:3" x14ac:dyDescent="0.35">
      <c r="A11">
        <v>3.1960000000000002</v>
      </c>
      <c r="B11">
        <v>-0.01</v>
      </c>
      <c r="C1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40C4-8E34-4888-9EE5-443EFD4E20FF}">
  <dimension ref="A1:F13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40</v>
      </c>
      <c r="C1" t="s">
        <v>1</v>
      </c>
      <c r="D1" t="s">
        <v>3</v>
      </c>
      <c r="E1" t="s">
        <v>6</v>
      </c>
      <c r="F1" t="s">
        <v>3</v>
      </c>
    </row>
    <row r="2" spans="1:6" x14ac:dyDescent="0.35">
      <c r="A2">
        <v>3.2080000000000002</v>
      </c>
      <c r="B2">
        <v>1.0800000000000001E-2</v>
      </c>
      <c r="C2">
        <v>-1</v>
      </c>
      <c r="D2" t="s">
        <v>4</v>
      </c>
      <c r="E2">
        <v>35</v>
      </c>
      <c r="F2" t="s">
        <v>5</v>
      </c>
    </row>
    <row r="3" spans="1:6" x14ac:dyDescent="0.35">
      <c r="A3">
        <v>3.1949999999999998</v>
      </c>
      <c r="B3">
        <v>6.3E-3</v>
      </c>
      <c r="C3">
        <v>-5</v>
      </c>
      <c r="D3" t="s">
        <v>4</v>
      </c>
      <c r="E3">
        <v>35</v>
      </c>
      <c r="F3" t="s">
        <v>5</v>
      </c>
    </row>
    <row r="4" spans="1:6" x14ac:dyDescent="0.35">
      <c r="A4">
        <v>3.1869999999999998</v>
      </c>
      <c r="B4">
        <v>4.0299999999999997E-3</v>
      </c>
      <c r="C4">
        <v>-10</v>
      </c>
      <c r="D4" t="s">
        <v>4</v>
      </c>
      <c r="E4">
        <v>35</v>
      </c>
      <c r="F4" t="s">
        <v>5</v>
      </c>
    </row>
    <row r="5" spans="1:6" x14ac:dyDescent="0.35">
      <c r="A5">
        <v>3.1829999999999998</v>
      </c>
      <c r="B5">
        <v>2.7499999999999998E-3</v>
      </c>
      <c r="C5">
        <v>-15</v>
      </c>
      <c r="D5" t="s">
        <v>4</v>
      </c>
      <c r="E5">
        <v>35</v>
      </c>
      <c r="F5" t="s">
        <v>5</v>
      </c>
    </row>
    <row r="6" spans="1:6" x14ac:dyDescent="0.35">
      <c r="A6">
        <v>3.18</v>
      </c>
      <c r="B6">
        <v>2.0300000000000001E-3</v>
      </c>
      <c r="C6">
        <v>-20</v>
      </c>
      <c r="D6" t="s">
        <v>4</v>
      </c>
      <c r="E6">
        <v>35</v>
      </c>
      <c r="F6" t="s">
        <v>5</v>
      </c>
    </row>
    <row r="7" spans="1:6" x14ac:dyDescent="0.35">
      <c r="A7">
        <v>3.1779999999999999</v>
      </c>
      <c r="B7">
        <v>1.75E-3</v>
      </c>
      <c r="C7">
        <v>-25</v>
      </c>
      <c r="D7" t="s">
        <v>4</v>
      </c>
      <c r="E7">
        <v>35</v>
      </c>
      <c r="F7" t="s">
        <v>5</v>
      </c>
    </row>
    <row r="8" spans="1:6" x14ac:dyDescent="0.35">
      <c r="A8">
        <v>3.2</v>
      </c>
      <c r="B8">
        <v>6.4599999999999996E-3</v>
      </c>
      <c r="C8">
        <v>-1</v>
      </c>
      <c r="D8" t="s">
        <v>4</v>
      </c>
      <c r="E8">
        <v>60</v>
      </c>
      <c r="F8" t="s">
        <v>5</v>
      </c>
    </row>
    <row r="9" spans="1:6" x14ac:dyDescent="0.35">
      <c r="A9">
        <v>3.1859999999999999</v>
      </c>
      <c r="B9">
        <v>4.0000000000000001E-3</v>
      </c>
      <c r="C9">
        <v>-5</v>
      </c>
      <c r="D9" t="s">
        <v>4</v>
      </c>
      <c r="E9">
        <v>60</v>
      </c>
      <c r="F9" t="s">
        <v>5</v>
      </c>
    </row>
    <row r="10" spans="1:6" x14ac:dyDescent="0.35">
      <c r="A10">
        <v>3.1760000000000002</v>
      </c>
      <c r="B10">
        <v>2.4599999999999999E-3</v>
      </c>
      <c r="C10">
        <v>-10</v>
      </c>
      <c r="D10" t="s">
        <v>4</v>
      </c>
      <c r="E10">
        <v>60</v>
      </c>
      <c r="F10" t="s">
        <v>5</v>
      </c>
    </row>
    <row r="11" spans="1:6" x14ac:dyDescent="0.35">
      <c r="A11">
        <v>3.17</v>
      </c>
      <c r="B11">
        <v>1.64E-3</v>
      </c>
      <c r="C11">
        <v>-15</v>
      </c>
      <c r="D11" t="s">
        <v>4</v>
      </c>
      <c r="E11">
        <v>60</v>
      </c>
      <c r="F11" t="s">
        <v>5</v>
      </c>
    </row>
    <row r="12" spans="1:6" x14ac:dyDescent="0.35">
      <c r="A12">
        <v>3.1680000000000001</v>
      </c>
      <c r="B12">
        <v>0</v>
      </c>
      <c r="C12">
        <v>-20</v>
      </c>
      <c r="D12" t="s">
        <v>4</v>
      </c>
      <c r="E12">
        <v>60</v>
      </c>
      <c r="F12" t="s">
        <v>5</v>
      </c>
    </row>
    <row r="13" spans="1:6" x14ac:dyDescent="0.35">
      <c r="A13">
        <v>3.1669999999999998</v>
      </c>
      <c r="B13">
        <v>0</v>
      </c>
      <c r="C13">
        <v>-25</v>
      </c>
      <c r="D13" t="s">
        <v>4</v>
      </c>
      <c r="E13">
        <v>60</v>
      </c>
      <c r="F13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D5FE-9810-46B7-B8E9-5D8324FDC452}">
  <dimension ref="A1:D79"/>
  <sheetViews>
    <sheetView workbookViewId="0">
      <selection activeCell="I13" sqref="I13"/>
    </sheetView>
  </sheetViews>
  <sheetFormatPr defaultRowHeight="14.5" x14ac:dyDescent="0.35"/>
  <cols>
    <col min="1" max="1" width="6.36328125" style="3" bestFit="1" customWidth="1"/>
    <col min="2" max="2" width="4.81640625" bestFit="1" customWidth="1"/>
    <col min="3" max="3" width="8.36328125" bestFit="1" customWidth="1"/>
    <col min="4" max="4" width="4.81640625" bestFit="1" customWidth="1"/>
  </cols>
  <sheetData>
    <row r="1" spans="1:4" x14ac:dyDescent="0.35">
      <c r="A1" s="3" t="s">
        <v>37</v>
      </c>
      <c r="B1" t="s">
        <v>3</v>
      </c>
      <c r="C1" t="s">
        <v>38</v>
      </c>
      <c r="D1" t="s">
        <v>3</v>
      </c>
    </row>
    <row r="2" spans="1:4" x14ac:dyDescent="0.35">
      <c r="A2" s="3">
        <v>3.65</v>
      </c>
      <c r="B2" t="s">
        <v>36</v>
      </c>
      <c r="C2" s="1">
        <v>7.9900000000000006E-3</v>
      </c>
      <c r="D2" t="s">
        <v>39</v>
      </c>
    </row>
    <row r="3" spans="1:4" x14ac:dyDescent="0.35">
      <c r="A3" s="3">
        <v>3.68</v>
      </c>
      <c r="B3" t="s">
        <v>36</v>
      </c>
      <c r="C3" s="1">
        <v>9.9100000000000004E-3</v>
      </c>
      <c r="D3" t="s">
        <v>39</v>
      </c>
    </row>
    <row r="4" spans="1:4" x14ac:dyDescent="0.35">
      <c r="A4" s="3">
        <v>3.73</v>
      </c>
      <c r="B4" t="s">
        <v>36</v>
      </c>
      <c r="C4" s="1">
        <v>1.2800000000000001E-2</v>
      </c>
      <c r="D4" t="s">
        <v>39</v>
      </c>
    </row>
    <row r="5" spans="1:4" x14ac:dyDescent="0.35">
      <c r="A5" s="3">
        <v>3.75</v>
      </c>
      <c r="B5" t="s">
        <v>36</v>
      </c>
      <c r="C5" s="1">
        <v>1.47E-2</v>
      </c>
      <c r="D5" t="s">
        <v>39</v>
      </c>
    </row>
    <row r="6" spans="1:4" x14ac:dyDescent="0.35">
      <c r="A6" s="3">
        <v>3.78</v>
      </c>
      <c r="B6" t="s">
        <v>36</v>
      </c>
      <c r="C6" s="1">
        <v>1.6500000000000001E-2</v>
      </c>
      <c r="D6" t="s">
        <v>39</v>
      </c>
    </row>
    <row r="7" spans="1:4" x14ac:dyDescent="0.35">
      <c r="A7" s="3">
        <v>3.82</v>
      </c>
      <c r="B7" t="s">
        <v>36</v>
      </c>
      <c r="C7" s="1">
        <v>2.07E-2</v>
      </c>
      <c r="D7" t="s">
        <v>39</v>
      </c>
    </row>
    <row r="8" spans="1:4" x14ac:dyDescent="0.35">
      <c r="A8" s="3">
        <v>3.83</v>
      </c>
      <c r="B8" t="s">
        <v>36</v>
      </c>
      <c r="C8" s="1">
        <v>2.18E-2</v>
      </c>
      <c r="D8" t="s">
        <v>39</v>
      </c>
    </row>
    <row r="9" spans="1:4" x14ac:dyDescent="0.35">
      <c r="A9" s="3">
        <v>3.85</v>
      </c>
      <c r="B9" t="s">
        <v>36</v>
      </c>
      <c r="C9" s="1">
        <v>2.4400000000000002E-2</v>
      </c>
      <c r="D9" t="s">
        <v>39</v>
      </c>
    </row>
    <row r="10" spans="1:4" x14ac:dyDescent="0.35">
      <c r="A10" s="3">
        <v>3.83</v>
      </c>
      <c r="B10" t="s">
        <v>36</v>
      </c>
      <c r="C10" s="1">
        <v>2.29E-2</v>
      </c>
      <c r="D10" t="s">
        <v>39</v>
      </c>
    </row>
    <row r="11" spans="1:4" x14ac:dyDescent="0.35">
      <c r="A11" s="3">
        <v>3.88</v>
      </c>
      <c r="B11" t="s">
        <v>36</v>
      </c>
      <c r="C11" s="1">
        <v>3.27E-2</v>
      </c>
      <c r="D11" t="s">
        <v>39</v>
      </c>
    </row>
    <row r="12" spans="1:4" x14ac:dyDescent="0.35">
      <c r="A12" s="3">
        <v>3.93</v>
      </c>
      <c r="B12" t="s">
        <v>36</v>
      </c>
      <c r="C12" s="1">
        <v>4.2099999999999999E-2</v>
      </c>
      <c r="D12" t="s">
        <v>39</v>
      </c>
    </row>
    <row r="13" spans="1:4" x14ac:dyDescent="0.35">
      <c r="A13" s="3">
        <v>3.96</v>
      </c>
      <c r="B13" t="s">
        <v>36</v>
      </c>
      <c r="C13" s="1">
        <v>4.5499999999999999E-2</v>
      </c>
      <c r="D13" t="s">
        <v>39</v>
      </c>
    </row>
    <row r="14" spans="1:4" x14ac:dyDescent="0.35">
      <c r="A14" s="3">
        <v>3.93</v>
      </c>
      <c r="B14" t="s">
        <v>36</v>
      </c>
      <c r="C14" s="1">
        <v>4.6699999999999998E-2</v>
      </c>
      <c r="D14" t="s">
        <v>39</v>
      </c>
    </row>
    <row r="15" spans="1:4" x14ac:dyDescent="0.35">
      <c r="A15" s="3">
        <v>3.96</v>
      </c>
      <c r="B15" t="s">
        <v>36</v>
      </c>
      <c r="C15" s="1">
        <v>4.9700000000000001E-2</v>
      </c>
      <c r="D15" t="s">
        <v>39</v>
      </c>
    </row>
    <row r="16" spans="1:4" x14ac:dyDescent="0.35">
      <c r="A16" s="3">
        <v>3.97</v>
      </c>
      <c r="B16" t="s">
        <v>36</v>
      </c>
      <c r="C16" s="1">
        <v>5.79E-2</v>
      </c>
      <c r="D16" t="s">
        <v>39</v>
      </c>
    </row>
    <row r="17" spans="1:4" x14ac:dyDescent="0.35">
      <c r="A17" s="3">
        <v>4.01</v>
      </c>
      <c r="B17" t="s">
        <v>36</v>
      </c>
      <c r="C17" s="1">
        <v>6.1699999999999998E-2</v>
      </c>
      <c r="D17" t="s">
        <v>39</v>
      </c>
    </row>
    <row r="18" spans="1:4" x14ac:dyDescent="0.35">
      <c r="A18" s="3">
        <v>4.0199999999999996</v>
      </c>
      <c r="B18" t="s">
        <v>36</v>
      </c>
      <c r="C18" s="1">
        <v>7.1800000000000003E-2</v>
      </c>
      <c r="D18" t="s">
        <v>39</v>
      </c>
    </row>
    <row r="19" spans="1:4" x14ac:dyDescent="0.35">
      <c r="A19" s="3">
        <v>4.08</v>
      </c>
      <c r="B19" t="s">
        <v>36</v>
      </c>
      <c r="C19" s="1">
        <v>0.10100000000000001</v>
      </c>
      <c r="D19" t="s">
        <v>39</v>
      </c>
    </row>
    <row r="20" spans="1:4" x14ac:dyDescent="0.35">
      <c r="A20" s="3">
        <v>4.13</v>
      </c>
      <c r="B20" t="s">
        <v>36</v>
      </c>
      <c r="C20" s="1">
        <v>0.126</v>
      </c>
      <c r="D20" t="s">
        <v>39</v>
      </c>
    </row>
    <row r="21" spans="1:4" x14ac:dyDescent="0.35">
      <c r="A21" s="3">
        <v>4.13</v>
      </c>
      <c r="B21" t="s">
        <v>36</v>
      </c>
      <c r="C21" s="1">
        <v>0.14399999999999999</v>
      </c>
      <c r="D21" t="s">
        <v>39</v>
      </c>
    </row>
    <row r="22" spans="1:4" x14ac:dyDescent="0.35">
      <c r="A22" s="3">
        <v>4.17</v>
      </c>
      <c r="B22" t="s">
        <v>36</v>
      </c>
      <c r="C22" s="1">
        <v>0.16600000000000001</v>
      </c>
      <c r="D22" t="s">
        <v>39</v>
      </c>
    </row>
    <row r="23" spans="1:4" x14ac:dyDescent="0.35">
      <c r="A23" s="3">
        <v>4.2</v>
      </c>
      <c r="B23" t="s">
        <v>36</v>
      </c>
      <c r="C23" s="1">
        <v>0.156</v>
      </c>
      <c r="D23" t="s">
        <v>39</v>
      </c>
    </row>
    <row r="24" spans="1:4" x14ac:dyDescent="0.35">
      <c r="A24" s="3">
        <v>4.3</v>
      </c>
      <c r="B24" t="s">
        <v>36</v>
      </c>
      <c r="C24" s="1">
        <v>0.191</v>
      </c>
      <c r="D24" t="s">
        <v>39</v>
      </c>
    </row>
    <row r="25" spans="1:4" x14ac:dyDescent="0.35">
      <c r="A25" s="3">
        <v>4.3899999999999997</v>
      </c>
      <c r="B25" t="s">
        <v>36</v>
      </c>
      <c r="C25" s="1">
        <v>0.22700000000000001</v>
      </c>
      <c r="D25" t="s">
        <v>39</v>
      </c>
    </row>
    <row r="26" spans="1:4" x14ac:dyDescent="0.35">
      <c r="A26" s="3">
        <v>4.4800000000000004</v>
      </c>
      <c r="B26" t="s">
        <v>36</v>
      </c>
      <c r="C26" s="1">
        <v>0.28899999999999998</v>
      </c>
      <c r="D26" t="s">
        <v>39</v>
      </c>
    </row>
    <row r="27" spans="1:4" x14ac:dyDescent="0.35">
      <c r="A27" s="3">
        <v>4.5</v>
      </c>
      <c r="B27" t="s">
        <v>36</v>
      </c>
      <c r="C27" s="1">
        <v>0.30399999999999999</v>
      </c>
      <c r="D27" t="s">
        <v>39</v>
      </c>
    </row>
    <row r="28" spans="1:4" x14ac:dyDescent="0.35">
      <c r="A28" s="3">
        <v>4.55</v>
      </c>
      <c r="B28" t="s">
        <v>36</v>
      </c>
      <c r="C28" s="1">
        <v>0.312</v>
      </c>
      <c r="D28" t="s">
        <v>39</v>
      </c>
    </row>
    <row r="29" spans="1:4" x14ac:dyDescent="0.35">
      <c r="A29" s="3">
        <v>4.6500000000000004</v>
      </c>
      <c r="B29" t="s">
        <v>36</v>
      </c>
      <c r="C29" s="1">
        <v>0.38200000000000001</v>
      </c>
      <c r="D29" t="s">
        <v>39</v>
      </c>
    </row>
    <row r="30" spans="1:4" x14ac:dyDescent="0.35">
      <c r="A30" s="3">
        <v>4.71</v>
      </c>
      <c r="B30" t="s">
        <v>36</v>
      </c>
      <c r="C30" s="1">
        <v>0.45</v>
      </c>
      <c r="D30" t="s">
        <v>39</v>
      </c>
    </row>
    <row r="31" spans="1:4" x14ac:dyDescent="0.35">
      <c r="A31" s="3">
        <v>4.8</v>
      </c>
      <c r="B31" t="s">
        <v>36</v>
      </c>
      <c r="C31" s="1">
        <v>0.54400000000000004</v>
      </c>
      <c r="D31" t="s">
        <v>39</v>
      </c>
    </row>
    <row r="32" spans="1:4" x14ac:dyDescent="0.35">
      <c r="A32" s="3">
        <v>4.83</v>
      </c>
      <c r="B32" t="s">
        <v>36</v>
      </c>
      <c r="C32" s="1">
        <v>0.56499999999999995</v>
      </c>
      <c r="D32" t="s">
        <v>39</v>
      </c>
    </row>
    <row r="33" spans="1:4" x14ac:dyDescent="0.35">
      <c r="A33" s="3">
        <v>4.88</v>
      </c>
      <c r="B33" t="s">
        <v>36</v>
      </c>
      <c r="C33" s="1">
        <v>0.59399999999999997</v>
      </c>
      <c r="D33" t="s">
        <v>39</v>
      </c>
    </row>
    <row r="34" spans="1:4" x14ac:dyDescent="0.35">
      <c r="A34" s="3">
        <v>4.88</v>
      </c>
      <c r="B34" t="s">
        <v>36</v>
      </c>
      <c r="C34" s="1">
        <v>0.66700000000000004</v>
      </c>
      <c r="D34" t="s">
        <v>39</v>
      </c>
    </row>
    <row r="35" spans="1:4" x14ac:dyDescent="0.35">
      <c r="A35" s="3">
        <v>5</v>
      </c>
      <c r="B35" t="s">
        <v>36</v>
      </c>
      <c r="C35" s="1">
        <v>0.78500000000000003</v>
      </c>
      <c r="D35" t="s">
        <v>39</v>
      </c>
    </row>
    <row r="36" spans="1:4" x14ac:dyDescent="0.35">
      <c r="A36" s="3">
        <v>5.0199999999999996</v>
      </c>
      <c r="B36" t="s">
        <v>36</v>
      </c>
      <c r="C36" s="1">
        <v>0.79500000000000004</v>
      </c>
      <c r="D36" t="s">
        <v>39</v>
      </c>
    </row>
    <row r="37" spans="1:4" x14ac:dyDescent="0.35">
      <c r="A37" s="3">
        <v>5.12</v>
      </c>
      <c r="B37" t="s">
        <v>36</v>
      </c>
      <c r="C37" s="1">
        <v>0.97299999999999998</v>
      </c>
      <c r="D37" t="s">
        <v>39</v>
      </c>
    </row>
    <row r="38" spans="1:4" x14ac:dyDescent="0.35">
      <c r="A38" s="3">
        <v>5.2</v>
      </c>
      <c r="B38" t="s">
        <v>36</v>
      </c>
      <c r="C38" s="1">
        <v>1.19</v>
      </c>
      <c r="D38" t="s">
        <v>39</v>
      </c>
    </row>
    <row r="39" spans="1:4" x14ac:dyDescent="0.35">
      <c r="A39" s="3">
        <v>5.36</v>
      </c>
      <c r="B39" t="s">
        <v>36</v>
      </c>
      <c r="C39" s="1">
        <v>1.55</v>
      </c>
      <c r="D39" t="s">
        <v>39</v>
      </c>
    </row>
    <row r="40" spans="1:4" x14ac:dyDescent="0.35">
      <c r="A40" s="3">
        <v>5.36</v>
      </c>
      <c r="B40" t="s">
        <v>36</v>
      </c>
      <c r="C40" s="1">
        <v>1.79</v>
      </c>
      <c r="D40" t="s">
        <v>39</v>
      </c>
    </row>
    <row r="41" spans="1:4" x14ac:dyDescent="0.35">
      <c r="A41" s="3">
        <v>5.5</v>
      </c>
      <c r="B41" t="s">
        <v>36</v>
      </c>
      <c r="C41" s="1">
        <v>2.42</v>
      </c>
      <c r="D41" t="s">
        <v>39</v>
      </c>
    </row>
    <row r="42" spans="1:4" x14ac:dyDescent="0.35">
      <c r="A42" s="3">
        <v>5.65</v>
      </c>
      <c r="B42" t="s">
        <v>36</v>
      </c>
      <c r="C42" s="1">
        <v>2.81</v>
      </c>
      <c r="D42" t="s">
        <v>39</v>
      </c>
    </row>
    <row r="43" spans="1:4" x14ac:dyDescent="0.35">
      <c r="A43" s="3">
        <v>5.78</v>
      </c>
      <c r="B43" t="s">
        <v>36</v>
      </c>
      <c r="C43" s="1">
        <v>3.36</v>
      </c>
      <c r="D43" t="s">
        <v>39</v>
      </c>
    </row>
    <row r="44" spans="1:4" x14ac:dyDescent="0.35">
      <c r="A44" s="3">
        <v>5.86</v>
      </c>
      <c r="B44" t="s">
        <v>36</v>
      </c>
      <c r="C44" s="1">
        <v>5.0999999999999996</v>
      </c>
      <c r="D44" t="s">
        <v>39</v>
      </c>
    </row>
    <row r="45" spans="1:4" x14ac:dyDescent="0.35">
      <c r="A45" s="3">
        <v>6.09</v>
      </c>
      <c r="B45" t="s">
        <v>36</v>
      </c>
      <c r="C45" s="1">
        <v>8.36</v>
      </c>
      <c r="D45" t="s">
        <v>39</v>
      </c>
    </row>
    <row r="46" spans="1:4" x14ac:dyDescent="0.35">
      <c r="A46" s="3">
        <v>6.05</v>
      </c>
      <c r="B46" t="s">
        <v>36</v>
      </c>
      <c r="C46" s="1">
        <v>9.5</v>
      </c>
      <c r="D46" t="s">
        <v>39</v>
      </c>
    </row>
    <row r="47" spans="1:4" x14ac:dyDescent="0.35">
      <c r="A47" s="3">
        <v>6.23</v>
      </c>
      <c r="B47" t="s">
        <v>36</v>
      </c>
      <c r="C47" s="1">
        <v>15.6</v>
      </c>
      <c r="D47" t="s">
        <v>39</v>
      </c>
    </row>
    <row r="48" spans="1:4" x14ac:dyDescent="0.35">
      <c r="A48" s="3">
        <v>6.29</v>
      </c>
      <c r="B48" t="s">
        <v>36</v>
      </c>
      <c r="C48" s="1">
        <v>16.8</v>
      </c>
      <c r="D48" t="s">
        <v>39</v>
      </c>
    </row>
    <row r="49" spans="1:4" x14ac:dyDescent="0.35">
      <c r="A49" s="3">
        <v>6.4</v>
      </c>
      <c r="B49" t="s">
        <v>36</v>
      </c>
      <c r="C49" s="1">
        <v>21.3</v>
      </c>
      <c r="D49" t="s">
        <v>39</v>
      </c>
    </row>
    <row r="50" spans="1:4" x14ac:dyDescent="0.35">
      <c r="A50" s="3">
        <v>6.43</v>
      </c>
      <c r="B50" t="s">
        <v>36</v>
      </c>
      <c r="C50" s="1">
        <v>26.8</v>
      </c>
      <c r="D50" t="s">
        <v>39</v>
      </c>
    </row>
    <row r="51" spans="1:4" x14ac:dyDescent="0.35">
      <c r="A51" s="3">
        <v>6.53</v>
      </c>
      <c r="B51" t="s">
        <v>36</v>
      </c>
      <c r="C51" s="1">
        <v>31.2</v>
      </c>
      <c r="D51" t="s">
        <v>39</v>
      </c>
    </row>
    <row r="52" spans="1:4" x14ac:dyDescent="0.35">
      <c r="A52" s="3">
        <v>6.59</v>
      </c>
      <c r="B52" t="s">
        <v>36</v>
      </c>
      <c r="C52" s="1">
        <v>34.1</v>
      </c>
      <c r="D52" t="s">
        <v>39</v>
      </c>
    </row>
    <row r="53" spans="1:4" x14ac:dyDescent="0.35">
      <c r="A53" s="3">
        <v>6.54</v>
      </c>
      <c r="B53" t="s">
        <v>36</v>
      </c>
      <c r="C53" s="1">
        <v>42.4</v>
      </c>
      <c r="D53" t="s">
        <v>39</v>
      </c>
    </row>
    <row r="54" spans="1:4" x14ac:dyDescent="0.35">
      <c r="A54" s="3">
        <v>6.63</v>
      </c>
      <c r="B54" t="s">
        <v>36</v>
      </c>
      <c r="C54" s="1">
        <v>43.4</v>
      </c>
      <c r="D54" t="s">
        <v>39</v>
      </c>
    </row>
    <row r="55" spans="1:4" x14ac:dyDescent="0.35">
      <c r="A55" s="3">
        <v>6.71</v>
      </c>
      <c r="B55" t="s">
        <v>36</v>
      </c>
      <c r="C55" s="1">
        <v>49.2</v>
      </c>
      <c r="D55" t="s">
        <v>39</v>
      </c>
    </row>
    <row r="56" spans="1:4" x14ac:dyDescent="0.35">
      <c r="A56" s="3">
        <v>6.76</v>
      </c>
      <c r="B56" t="s">
        <v>36</v>
      </c>
      <c r="C56" s="1">
        <v>71.099999999999994</v>
      </c>
      <c r="D56" t="s">
        <v>39</v>
      </c>
    </row>
    <row r="57" spans="1:4" x14ac:dyDescent="0.35">
      <c r="A57" s="3">
        <v>6.76</v>
      </c>
      <c r="B57" t="s">
        <v>36</v>
      </c>
      <c r="C57" s="1">
        <v>82.9</v>
      </c>
      <c r="D57" t="s">
        <v>39</v>
      </c>
    </row>
    <row r="58" spans="1:4" x14ac:dyDescent="0.35">
      <c r="A58" s="3">
        <v>6.86</v>
      </c>
      <c r="B58" t="s">
        <v>36</v>
      </c>
      <c r="C58" s="1">
        <v>105</v>
      </c>
      <c r="D58" t="s">
        <v>39</v>
      </c>
    </row>
    <row r="59" spans="1:4" x14ac:dyDescent="0.35">
      <c r="A59" s="3">
        <v>6.86</v>
      </c>
      <c r="B59" t="s">
        <v>36</v>
      </c>
      <c r="C59" s="1">
        <v>118</v>
      </c>
      <c r="D59" t="s">
        <v>39</v>
      </c>
    </row>
    <row r="60" spans="1:4" x14ac:dyDescent="0.35">
      <c r="A60" s="3">
        <v>6.96</v>
      </c>
      <c r="B60" t="s">
        <v>36</v>
      </c>
      <c r="C60" s="1">
        <v>141</v>
      </c>
      <c r="D60" t="s">
        <v>39</v>
      </c>
    </row>
    <row r="61" spans="1:4" x14ac:dyDescent="0.35">
      <c r="A61" s="3">
        <v>6.93</v>
      </c>
      <c r="B61" t="s">
        <v>36</v>
      </c>
      <c r="C61" s="1">
        <v>191</v>
      </c>
      <c r="D61" t="s">
        <v>39</v>
      </c>
    </row>
    <row r="62" spans="1:4" x14ac:dyDescent="0.35">
      <c r="A62" s="3">
        <v>7</v>
      </c>
      <c r="B62" t="s">
        <v>36</v>
      </c>
      <c r="C62" s="1">
        <v>194</v>
      </c>
      <c r="D62" t="s">
        <v>39</v>
      </c>
    </row>
    <row r="63" spans="1:4" x14ac:dyDescent="0.35">
      <c r="A63" s="3">
        <v>7.1</v>
      </c>
      <c r="B63" t="s">
        <v>36</v>
      </c>
      <c r="C63" s="1">
        <v>291</v>
      </c>
      <c r="D63" t="s">
        <v>39</v>
      </c>
    </row>
    <row r="64" spans="1:4" x14ac:dyDescent="0.35">
      <c r="A64" s="3">
        <v>7.11</v>
      </c>
      <c r="B64" t="s">
        <v>36</v>
      </c>
      <c r="C64" s="1">
        <v>366</v>
      </c>
      <c r="D64" t="s">
        <v>39</v>
      </c>
    </row>
    <row r="65" spans="1:4" x14ac:dyDescent="0.35">
      <c r="A65" s="3">
        <v>7.2</v>
      </c>
      <c r="B65" t="s">
        <v>36</v>
      </c>
      <c r="C65" s="1">
        <v>370</v>
      </c>
      <c r="D65" t="s">
        <v>39</v>
      </c>
    </row>
    <row r="66" spans="1:4" x14ac:dyDescent="0.35">
      <c r="A66" s="3">
        <v>7.31</v>
      </c>
      <c r="B66" t="s">
        <v>36</v>
      </c>
      <c r="C66" s="1">
        <v>834</v>
      </c>
      <c r="D66" t="s">
        <v>39</v>
      </c>
    </row>
    <row r="67" spans="1:4" x14ac:dyDescent="0.35">
      <c r="A67" s="3">
        <v>7.39</v>
      </c>
      <c r="B67" t="s">
        <v>36</v>
      </c>
      <c r="C67" s="1">
        <v>1060</v>
      </c>
      <c r="D67" t="s">
        <v>39</v>
      </c>
    </row>
    <row r="68" spans="1:4" x14ac:dyDescent="0.35">
      <c r="A68" s="3">
        <v>7.36</v>
      </c>
      <c r="B68" t="s">
        <v>36</v>
      </c>
      <c r="C68" s="1">
        <v>1120</v>
      </c>
      <c r="D68" t="s">
        <v>39</v>
      </c>
    </row>
    <row r="69" spans="1:4" x14ac:dyDescent="0.35">
      <c r="A69" s="3">
        <v>7.4</v>
      </c>
      <c r="B69" t="s">
        <v>36</v>
      </c>
      <c r="C69" s="1">
        <v>1240</v>
      </c>
      <c r="D69" t="s">
        <v>39</v>
      </c>
    </row>
    <row r="70" spans="1:4" x14ac:dyDescent="0.35">
      <c r="A70" s="3">
        <v>7.5</v>
      </c>
      <c r="B70" t="s">
        <v>36</v>
      </c>
      <c r="C70" s="1">
        <v>1950</v>
      </c>
      <c r="D70" t="s">
        <v>39</v>
      </c>
    </row>
    <row r="71" spans="1:4" x14ac:dyDescent="0.35">
      <c r="A71" s="3">
        <v>7.52</v>
      </c>
      <c r="B71" t="s">
        <v>36</v>
      </c>
      <c r="C71" s="1">
        <v>2580</v>
      </c>
      <c r="D71" t="s">
        <v>39</v>
      </c>
    </row>
    <row r="72" spans="1:4" x14ac:dyDescent="0.35">
      <c r="A72" s="3">
        <v>7.62</v>
      </c>
      <c r="B72" t="s">
        <v>36</v>
      </c>
      <c r="C72" s="1">
        <v>5740</v>
      </c>
      <c r="D72" t="s">
        <v>39</v>
      </c>
    </row>
    <row r="73" spans="1:4" x14ac:dyDescent="0.35">
      <c r="A73" s="3">
        <v>7.62</v>
      </c>
      <c r="B73" t="s">
        <v>36</v>
      </c>
      <c r="C73" s="1">
        <v>6520</v>
      </c>
      <c r="D73" t="s">
        <v>39</v>
      </c>
    </row>
    <row r="74" spans="1:4" x14ac:dyDescent="0.35">
      <c r="A74" s="3">
        <v>7.79</v>
      </c>
      <c r="B74" t="s">
        <v>36</v>
      </c>
      <c r="C74" s="1">
        <v>12400</v>
      </c>
      <c r="D74" t="s">
        <v>39</v>
      </c>
    </row>
    <row r="75" spans="1:4" x14ac:dyDescent="0.35">
      <c r="A75" s="3">
        <v>7.81</v>
      </c>
      <c r="B75" t="s">
        <v>36</v>
      </c>
      <c r="C75" s="1">
        <v>17300</v>
      </c>
      <c r="D75" t="s">
        <v>39</v>
      </c>
    </row>
    <row r="76" spans="1:4" x14ac:dyDescent="0.35">
      <c r="A76" s="3">
        <v>7.93</v>
      </c>
      <c r="B76" t="s">
        <v>36</v>
      </c>
      <c r="C76" s="1">
        <v>27000</v>
      </c>
      <c r="D76" t="s">
        <v>39</v>
      </c>
    </row>
    <row r="77" spans="1:4" x14ac:dyDescent="0.35">
      <c r="A77" s="3">
        <v>7.94</v>
      </c>
      <c r="B77" t="s">
        <v>36</v>
      </c>
      <c r="C77" s="1">
        <v>34800</v>
      </c>
      <c r="D77" t="s">
        <v>39</v>
      </c>
    </row>
    <row r="78" spans="1:4" x14ac:dyDescent="0.35">
      <c r="A78" s="3">
        <v>7.96</v>
      </c>
      <c r="B78" t="s">
        <v>36</v>
      </c>
      <c r="C78" s="1">
        <v>55000</v>
      </c>
      <c r="D78" t="s">
        <v>39</v>
      </c>
    </row>
    <row r="79" spans="1:4" x14ac:dyDescent="0.35">
      <c r="A79" s="3">
        <v>8.07</v>
      </c>
      <c r="B79" t="s">
        <v>36</v>
      </c>
      <c r="C79" s="1">
        <v>80500</v>
      </c>
      <c r="D79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AD53-1274-428D-944B-45B802AA7530}">
  <dimension ref="A1:J14"/>
  <sheetViews>
    <sheetView workbookViewId="0">
      <selection activeCell="D1" sqref="A1:D1"/>
    </sheetView>
  </sheetViews>
  <sheetFormatPr defaultRowHeight="14.5" x14ac:dyDescent="0.35"/>
  <cols>
    <col min="1" max="1" width="6.36328125" bestFit="1" customWidth="1"/>
    <col min="2" max="2" width="4.81640625" bestFit="1" customWidth="1"/>
    <col min="3" max="3" width="9" bestFit="1" customWidth="1"/>
    <col min="4" max="4" width="4.81640625" bestFit="1" customWidth="1"/>
  </cols>
  <sheetData>
    <row r="1" spans="1:10" x14ac:dyDescent="0.35">
      <c r="A1" t="s">
        <v>37</v>
      </c>
      <c r="B1" t="s">
        <v>3</v>
      </c>
      <c r="C1" t="s">
        <v>33</v>
      </c>
      <c r="D1" t="s">
        <v>3</v>
      </c>
    </row>
    <row r="2" spans="1:10" x14ac:dyDescent="0.35">
      <c r="A2">
        <v>3.89</v>
      </c>
      <c r="B2" t="s">
        <v>36</v>
      </c>
      <c r="C2" s="1">
        <v>4.0899999999999998E-5</v>
      </c>
      <c r="D2" t="s">
        <v>34</v>
      </c>
      <c r="I2" s="1"/>
      <c r="J2" s="1"/>
    </row>
    <row r="3" spans="1:10" x14ac:dyDescent="0.35">
      <c r="A3">
        <v>4.13</v>
      </c>
      <c r="B3" t="s">
        <v>36</v>
      </c>
      <c r="C3" s="1">
        <v>9.2600000000000001E-5</v>
      </c>
      <c r="D3" t="s">
        <v>34</v>
      </c>
      <c r="I3" s="1"/>
      <c r="J3" s="1"/>
    </row>
    <row r="4" spans="1:10" x14ac:dyDescent="0.35">
      <c r="A4">
        <v>4.24</v>
      </c>
      <c r="B4" t="s">
        <v>36</v>
      </c>
      <c r="C4" s="1">
        <v>1.2899999999999999E-4</v>
      </c>
      <c r="D4" t="s">
        <v>34</v>
      </c>
      <c r="I4" s="1"/>
      <c r="J4" s="1"/>
    </row>
    <row r="5" spans="1:10" x14ac:dyDescent="0.35">
      <c r="A5">
        <v>4.32</v>
      </c>
      <c r="B5" t="s">
        <v>36</v>
      </c>
      <c r="C5" s="1">
        <v>1.5799999999999999E-4</v>
      </c>
      <c r="D5" t="s">
        <v>34</v>
      </c>
      <c r="I5" s="1"/>
      <c r="J5" s="1"/>
    </row>
    <row r="6" spans="1:10" x14ac:dyDescent="0.35">
      <c r="A6">
        <v>4.3600000000000003</v>
      </c>
      <c r="B6" t="s">
        <v>36</v>
      </c>
      <c r="C6" s="1">
        <v>1.8900000000000001E-4</v>
      </c>
      <c r="D6" t="s">
        <v>34</v>
      </c>
      <c r="I6" s="1"/>
      <c r="J6" s="1"/>
    </row>
    <row r="7" spans="1:10" x14ac:dyDescent="0.35">
      <c r="A7">
        <v>4.45</v>
      </c>
      <c r="B7" t="s">
        <v>36</v>
      </c>
      <c r="C7" s="1">
        <v>2.41E-4</v>
      </c>
      <c r="D7" t="s">
        <v>34</v>
      </c>
      <c r="I7" s="1"/>
      <c r="J7" s="1"/>
    </row>
    <row r="8" spans="1:10" x14ac:dyDescent="0.35">
      <c r="A8">
        <v>4.5999999999999996</v>
      </c>
      <c r="B8" t="s">
        <v>36</v>
      </c>
      <c r="C8" s="1">
        <v>3.7399999999999998E-4</v>
      </c>
      <c r="D8" t="s">
        <v>34</v>
      </c>
      <c r="I8" s="1"/>
      <c r="J8" s="1"/>
    </row>
    <row r="9" spans="1:10" x14ac:dyDescent="0.35">
      <c r="A9">
        <v>4.93</v>
      </c>
      <c r="B9" t="s">
        <v>36</v>
      </c>
      <c r="C9" s="1">
        <v>1.0300000000000001E-3</v>
      </c>
      <c r="D9" t="s">
        <v>34</v>
      </c>
      <c r="I9" s="1"/>
      <c r="J9" s="1"/>
    </row>
    <row r="10" spans="1:10" x14ac:dyDescent="0.35">
      <c r="A10">
        <v>5.08</v>
      </c>
      <c r="B10" t="s">
        <v>36</v>
      </c>
      <c r="C10" s="1">
        <v>1.91E-3</v>
      </c>
      <c r="D10" t="s">
        <v>34</v>
      </c>
      <c r="I10" s="1"/>
      <c r="J10" s="1"/>
    </row>
    <row r="11" spans="1:10" x14ac:dyDescent="0.35">
      <c r="A11">
        <v>5.32</v>
      </c>
      <c r="B11" t="s">
        <v>36</v>
      </c>
      <c r="C11" s="1">
        <v>4.2700000000000004E-3</v>
      </c>
      <c r="D11" t="s">
        <v>34</v>
      </c>
      <c r="I11" s="1"/>
      <c r="J11" s="1"/>
    </row>
    <row r="12" spans="1:10" x14ac:dyDescent="0.35">
      <c r="A12">
        <v>5.51</v>
      </c>
      <c r="B12" t="s">
        <v>36</v>
      </c>
      <c r="C12" s="1">
        <v>8.8800000000000007E-3</v>
      </c>
      <c r="D12" t="s">
        <v>34</v>
      </c>
      <c r="I12" s="1"/>
      <c r="J12" s="1"/>
    </row>
    <row r="13" spans="1:10" x14ac:dyDescent="0.35">
      <c r="A13">
        <v>5.77</v>
      </c>
      <c r="B13" t="s">
        <v>36</v>
      </c>
      <c r="C13" s="1">
        <v>2.3400000000000001E-2</v>
      </c>
      <c r="D13" t="s">
        <v>34</v>
      </c>
      <c r="I13" s="1"/>
      <c r="J13" s="1"/>
    </row>
    <row r="14" spans="1:10" x14ac:dyDescent="0.35">
      <c r="A14">
        <v>6.04</v>
      </c>
      <c r="B14" t="s">
        <v>36</v>
      </c>
      <c r="C14" s="1">
        <v>7.7200000000000005E-2</v>
      </c>
      <c r="D14" t="s">
        <v>34</v>
      </c>
      <c r="I14" s="1"/>
      <c r="J1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6C22-3882-48AC-A2EE-5EB829E9B65A}">
  <dimension ref="A1:C11"/>
  <sheetViews>
    <sheetView topLeftCell="AC1" workbookViewId="0">
      <selection activeCell="E13" sqref="E13"/>
    </sheetView>
  </sheetViews>
  <sheetFormatPr defaultRowHeight="14.5" x14ac:dyDescent="0.35"/>
  <sheetData>
    <row r="1" spans="1:3" x14ac:dyDescent="0.35">
      <c r="A1" t="s">
        <v>31</v>
      </c>
      <c r="B1" t="s">
        <v>1</v>
      </c>
      <c r="C1" t="s">
        <v>3</v>
      </c>
    </row>
    <row r="2" spans="1:3" x14ac:dyDescent="0.35">
      <c r="A2">
        <v>105</v>
      </c>
      <c r="B2">
        <v>-30</v>
      </c>
      <c r="C2" t="s">
        <v>4</v>
      </c>
    </row>
    <row r="3" spans="1:3" x14ac:dyDescent="0.35">
      <c r="A3">
        <v>103.3</v>
      </c>
      <c r="B3">
        <v>-25</v>
      </c>
      <c r="C3" t="s">
        <v>4</v>
      </c>
    </row>
    <row r="4" spans="1:3" x14ac:dyDescent="0.35">
      <c r="A4">
        <v>101.6</v>
      </c>
      <c r="B4">
        <v>-20</v>
      </c>
      <c r="C4" t="s">
        <v>4</v>
      </c>
    </row>
    <row r="5" spans="1:3" x14ac:dyDescent="0.35">
      <c r="A5">
        <v>99.9</v>
      </c>
      <c r="B5">
        <v>-15</v>
      </c>
      <c r="C5" t="s">
        <v>4</v>
      </c>
    </row>
    <row r="6" spans="1:3" x14ac:dyDescent="0.35">
      <c r="A6">
        <v>98.3</v>
      </c>
      <c r="B6">
        <v>-10</v>
      </c>
      <c r="C6" t="s">
        <v>4</v>
      </c>
    </row>
    <row r="7" spans="1:3" x14ac:dyDescent="0.35">
      <c r="A7">
        <v>96.6</v>
      </c>
      <c r="B7">
        <v>-5</v>
      </c>
      <c r="C7" t="s">
        <v>4</v>
      </c>
    </row>
    <row r="8" spans="1:3" x14ac:dyDescent="0.35">
      <c r="A8">
        <v>95.9</v>
      </c>
      <c r="B8">
        <v>-3</v>
      </c>
      <c r="C8" t="s">
        <v>4</v>
      </c>
    </row>
    <row r="9" spans="1:3" x14ac:dyDescent="0.35">
      <c r="A9">
        <v>95.3</v>
      </c>
      <c r="B9">
        <v>-1</v>
      </c>
      <c r="C9" t="s">
        <v>4</v>
      </c>
    </row>
    <row r="10" spans="1:3" x14ac:dyDescent="0.35">
      <c r="A10">
        <v>95.003</v>
      </c>
      <c r="B10">
        <v>-0.1</v>
      </c>
      <c r="C10" t="s">
        <v>4</v>
      </c>
    </row>
    <row r="11" spans="1:3" x14ac:dyDescent="0.35">
      <c r="A11">
        <v>95.000299999999996</v>
      </c>
      <c r="B11">
        <v>-0.01</v>
      </c>
      <c r="C11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84AD-32C1-484C-99D0-786EFB8494EB}">
  <dimension ref="A1:D11"/>
  <sheetViews>
    <sheetView workbookViewId="0">
      <selection activeCell="D14" sqref="D14"/>
    </sheetView>
  </sheetViews>
  <sheetFormatPr defaultRowHeight="14.5" x14ac:dyDescent="0.35"/>
  <cols>
    <col min="2" max="2" width="4.81640625" bestFit="1" customWidth="1"/>
    <col min="3" max="3" width="5.453125" bestFit="1" customWidth="1"/>
  </cols>
  <sheetData>
    <row r="1" spans="1:4" x14ac:dyDescent="0.35">
      <c r="A1" t="s">
        <v>32</v>
      </c>
      <c r="B1" t="s">
        <v>3</v>
      </c>
      <c r="C1" t="s">
        <v>1</v>
      </c>
      <c r="D1" t="s">
        <v>3</v>
      </c>
    </row>
    <row r="2" spans="1:4" x14ac:dyDescent="0.35">
      <c r="A2" s="1">
        <v>581</v>
      </c>
      <c r="B2" s="1" t="s">
        <v>35</v>
      </c>
      <c r="C2">
        <v>-30</v>
      </c>
      <c r="D2" t="s">
        <v>4</v>
      </c>
    </row>
    <row r="3" spans="1:4" x14ac:dyDescent="0.35">
      <c r="A3" s="1">
        <v>920</v>
      </c>
      <c r="B3" s="1" t="s">
        <v>35</v>
      </c>
      <c r="C3">
        <v>-25</v>
      </c>
      <c r="D3" t="s">
        <v>4</v>
      </c>
    </row>
    <row r="4" spans="1:4" x14ac:dyDescent="0.35">
      <c r="A4" s="1">
        <v>1237</v>
      </c>
      <c r="B4" s="1" t="s">
        <v>35</v>
      </c>
      <c r="C4">
        <v>-20</v>
      </c>
      <c r="D4" t="s">
        <v>4</v>
      </c>
    </row>
    <row r="5" spans="1:4" x14ac:dyDescent="0.35">
      <c r="A5" s="1">
        <v>2118</v>
      </c>
      <c r="B5" s="1" t="s">
        <v>35</v>
      </c>
      <c r="C5">
        <v>-15</v>
      </c>
      <c r="D5" t="s">
        <v>4</v>
      </c>
    </row>
    <row r="6" spans="1:4" x14ac:dyDescent="0.35">
      <c r="A6" s="1">
        <v>2800</v>
      </c>
      <c r="B6" s="1" t="s">
        <v>35</v>
      </c>
      <c r="C6">
        <v>-10</v>
      </c>
      <c r="D6" t="s">
        <v>4</v>
      </c>
    </row>
    <row r="7" spans="1:4" x14ac:dyDescent="0.35">
      <c r="A7" s="1">
        <v>4759</v>
      </c>
      <c r="B7" s="1" t="s">
        <v>35</v>
      </c>
      <c r="C7">
        <v>-5</v>
      </c>
      <c r="D7" t="s">
        <v>4</v>
      </c>
    </row>
    <row r="8" spans="1:4" x14ac:dyDescent="0.35">
      <c r="A8" s="1">
        <v>6300</v>
      </c>
      <c r="B8" s="1" t="s">
        <v>35</v>
      </c>
      <c r="C8">
        <v>-3</v>
      </c>
      <c r="D8" t="s">
        <v>4</v>
      </c>
    </row>
    <row r="9" spans="1:4" x14ac:dyDescent="0.35">
      <c r="A9" s="1">
        <v>7558</v>
      </c>
      <c r="B9" s="1" t="s">
        <v>35</v>
      </c>
      <c r="C9">
        <v>-1</v>
      </c>
      <c r="D9" t="s">
        <v>4</v>
      </c>
    </row>
    <row r="10" spans="1:4" x14ac:dyDescent="0.35">
      <c r="A10" s="1">
        <v>9110</v>
      </c>
      <c r="B10" s="1" t="s">
        <v>35</v>
      </c>
      <c r="C10">
        <v>-0.1</v>
      </c>
      <c r="D10" t="s">
        <v>4</v>
      </c>
    </row>
    <row r="11" spans="1:4" x14ac:dyDescent="0.35">
      <c r="A11" s="1">
        <v>9830</v>
      </c>
      <c r="B11" s="1" t="s">
        <v>35</v>
      </c>
      <c r="C11">
        <v>-0.01</v>
      </c>
      <c r="D11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FB06-BF49-49BD-BDA8-2C7C3717862B}">
  <dimension ref="A1:D16"/>
  <sheetViews>
    <sheetView workbookViewId="0">
      <selection activeCell="E5" sqref="E5"/>
    </sheetView>
  </sheetViews>
  <sheetFormatPr defaultRowHeight="14.5" x14ac:dyDescent="0.35"/>
  <cols>
    <col min="1" max="1" width="8.36328125" bestFit="1" customWidth="1"/>
    <col min="2" max="2" width="4.81640625" bestFit="1" customWidth="1"/>
    <col min="3" max="3" width="8.36328125" style="2" bestFit="1" customWidth="1"/>
    <col min="4" max="4" width="4.81640625" bestFit="1" customWidth="1"/>
  </cols>
  <sheetData>
    <row r="1" spans="1:4" x14ac:dyDescent="0.35">
      <c r="A1" t="s">
        <v>37</v>
      </c>
      <c r="B1" t="s">
        <v>3</v>
      </c>
      <c r="C1" s="2" t="s">
        <v>33</v>
      </c>
      <c r="D1" t="s">
        <v>3</v>
      </c>
    </row>
    <row r="2" spans="1:4" x14ac:dyDescent="0.35">
      <c r="A2" s="4">
        <v>8.130081300813</v>
      </c>
      <c r="B2" s="1" t="s">
        <v>36</v>
      </c>
      <c r="C2" s="1">
        <v>23.908430999999783</v>
      </c>
      <c r="D2" t="s">
        <v>34</v>
      </c>
    </row>
    <row r="3" spans="1:4" x14ac:dyDescent="0.35">
      <c r="A3" s="4">
        <v>7.5187969924812004</v>
      </c>
      <c r="B3" s="1" t="s">
        <v>36</v>
      </c>
      <c r="C3" s="1">
        <v>2.745054999999994</v>
      </c>
      <c r="D3" t="s">
        <v>34</v>
      </c>
    </row>
    <row r="4" spans="1:4" x14ac:dyDescent="0.35">
      <c r="A4" s="4">
        <v>6.9930069930069898</v>
      </c>
      <c r="B4" s="1" t="s">
        <v>36</v>
      </c>
      <c r="C4" s="1">
        <v>0.54771050800000054</v>
      </c>
      <c r="D4" t="s">
        <v>34</v>
      </c>
    </row>
    <row r="5" spans="1:4" x14ac:dyDescent="0.35">
      <c r="A5" s="4">
        <v>6.5359477124182996</v>
      </c>
      <c r="B5" s="1" t="s">
        <v>36</v>
      </c>
      <c r="C5" s="1">
        <v>0.15085200000000024</v>
      </c>
      <c r="D5" t="s">
        <v>34</v>
      </c>
    </row>
    <row r="6" spans="1:4" x14ac:dyDescent="0.35">
      <c r="A6" s="4">
        <v>6.1349693251533699</v>
      </c>
      <c r="B6" s="1" t="s">
        <v>36</v>
      </c>
      <c r="C6" s="1">
        <v>5.2305946999999943E-2</v>
      </c>
      <c r="D6" t="s">
        <v>34</v>
      </c>
    </row>
    <row r="7" spans="1:4" x14ac:dyDescent="0.35">
      <c r="A7" s="4">
        <v>5.7803468208092399</v>
      </c>
      <c r="B7" s="1" t="s">
        <v>36</v>
      </c>
      <c r="C7" s="1">
        <v>2.0349375000000242E-2</v>
      </c>
      <c r="D7" t="s">
        <v>34</v>
      </c>
    </row>
    <row r="8" spans="1:4" x14ac:dyDescent="0.35">
      <c r="A8" s="4">
        <v>5.4644808743169397</v>
      </c>
      <c r="B8" s="1" t="s">
        <v>36</v>
      </c>
      <c r="C8" s="1">
        <v>9.3014590000000449E-3</v>
      </c>
      <c r="D8" t="s">
        <v>34</v>
      </c>
    </row>
    <row r="9" spans="1:4" x14ac:dyDescent="0.35">
      <c r="A9" s="4">
        <v>5.18134715025906</v>
      </c>
      <c r="B9" s="1" t="s">
        <v>36</v>
      </c>
      <c r="C9" s="1">
        <v>4.9951790000000709E-3</v>
      </c>
      <c r="D9" t="s">
        <v>34</v>
      </c>
    </row>
    <row r="10" spans="1:4" x14ac:dyDescent="0.35">
      <c r="A10" s="4">
        <v>4.9261083743842304</v>
      </c>
      <c r="B10" s="1" t="s">
        <v>36</v>
      </c>
      <c r="C10" s="1">
        <v>2.5035200000000182E-3</v>
      </c>
      <c r="D10" t="s">
        <v>34</v>
      </c>
    </row>
    <row r="11" spans="1:4" x14ac:dyDescent="0.35">
      <c r="A11" s="4">
        <v>4.6948356807511704</v>
      </c>
      <c r="B11" s="1" t="s">
        <v>36</v>
      </c>
      <c r="C11" s="1">
        <v>1.4741820000000183E-3</v>
      </c>
      <c r="D11" t="s">
        <v>34</v>
      </c>
    </row>
    <row r="12" spans="1:4" x14ac:dyDescent="0.35">
      <c r="A12" s="4">
        <v>4.4843049327354203</v>
      </c>
      <c r="B12" s="1" t="s">
        <v>36</v>
      </c>
      <c r="C12" s="1">
        <v>1.3444700000000153E-3</v>
      </c>
      <c r="D12" t="s">
        <v>34</v>
      </c>
    </row>
    <row r="13" spans="1:4" x14ac:dyDescent="0.35">
      <c r="A13" s="4">
        <v>4.2918454935622297</v>
      </c>
      <c r="B13" s="1" t="s">
        <v>36</v>
      </c>
      <c r="C13" s="1">
        <v>8.4830312200000462E-4</v>
      </c>
      <c r="D13" t="s">
        <v>34</v>
      </c>
    </row>
    <row r="14" spans="1:4" x14ac:dyDescent="0.35">
      <c r="A14" s="4">
        <v>4.1152263374485596</v>
      </c>
      <c r="B14" s="1" t="s">
        <v>36</v>
      </c>
      <c r="C14" s="1">
        <v>2.8089956400000098E-4</v>
      </c>
      <c r="D14" t="s">
        <v>34</v>
      </c>
    </row>
    <row r="15" spans="1:4" x14ac:dyDescent="0.35">
      <c r="A15" s="4">
        <v>3.9525691699604701</v>
      </c>
      <c r="B15" s="1" t="s">
        <v>36</v>
      </c>
      <c r="C15" s="1">
        <v>1.1443294200000134E-4</v>
      </c>
      <c r="D15" t="s">
        <v>34</v>
      </c>
    </row>
    <row r="16" spans="1:4" x14ac:dyDescent="0.35">
      <c r="A16" s="4">
        <v>3.8022813688212902</v>
      </c>
      <c r="B16" s="1" t="s">
        <v>36</v>
      </c>
      <c r="C16" s="2">
        <v>4.1548090000000558E-5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E71A-EDC0-4CAC-A7CF-E7E740B0C1C6}">
  <dimension ref="A1:J18"/>
  <sheetViews>
    <sheetView workbookViewId="0">
      <selection activeCell="E11" sqref="E11"/>
    </sheetView>
  </sheetViews>
  <sheetFormatPr defaultRowHeight="14.5" x14ac:dyDescent="0.35"/>
  <cols>
    <col min="1" max="1" width="6.36328125" bestFit="1" customWidth="1"/>
    <col min="2" max="2" width="4.81640625" bestFit="1" customWidth="1"/>
    <col min="3" max="3" width="8" style="2" bestFit="1" customWidth="1"/>
    <col min="4" max="4" width="4.81640625" bestFit="1" customWidth="1"/>
  </cols>
  <sheetData>
    <row r="1" spans="1:10" x14ac:dyDescent="0.35">
      <c r="A1" t="s">
        <v>37</v>
      </c>
      <c r="B1" t="s">
        <v>3</v>
      </c>
      <c r="C1" s="2" t="s">
        <v>33</v>
      </c>
      <c r="D1" t="s">
        <v>3</v>
      </c>
    </row>
    <row r="2" spans="1:10" x14ac:dyDescent="0.35">
      <c r="A2" s="4">
        <v>6.9930099999999999</v>
      </c>
      <c r="B2" s="1" t="s">
        <v>36</v>
      </c>
      <c r="C2" s="1">
        <v>0.64565400008693041</v>
      </c>
      <c r="D2" t="s">
        <v>34</v>
      </c>
      <c r="F2" s="1"/>
      <c r="G2" s="1"/>
    </row>
    <row r="3" spans="1:10" x14ac:dyDescent="0.35">
      <c r="A3" s="4">
        <v>6.5359499999999997</v>
      </c>
      <c r="B3" s="1" t="s">
        <v>36</v>
      </c>
      <c r="C3" s="1">
        <v>0.20417399991278931</v>
      </c>
      <c r="D3" t="s">
        <v>34</v>
      </c>
      <c r="F3" s="1"/>
      <c r="G3" s="1"/>
    </row>
    <row r="4" spans="1:10" x14ac:dyDescent="0.35">
      <c r="A4" s="4">
        <v>6.13497</v>
      </c>
      <c r="B4" s="1" t="s">
        <v>36</v>
      </c>
      <c r="C4" s="1">
        <v>8.5113800096583953E-2</v>
      </c>
      <c r="D4" t="s">
        <v>34</v>
      </c>
      <c r="F4" s="1"/>
      <c r="G4" s="1"/>
    </row>
    <row r="5" spans="1:10" x14ac:dyDescent="0.35">
      <c r="A5" s="4">
        <v>5.7803500000000003</v>
      </c>
      <c r="B5" s="1" t="s">
        <v>36</v>
      </c>
      <c r="C5" s="1">
        <v>4.6773500020022403E-2</v>
      </c>
      <c r="D5" t="s">
        <v>34</v>
      </c>
      <c r="F5" s="1"/>
      <c r="G5" s="1"/>
    </row>
    <row r="6" spans="1:10" x14ac:dyDescent="0.35">
      <c r="A6" s="4">
        <v>5.46448</v>
      </c>
      <c r="B6" s="1" t="s">
        <v>36</v>
      </c>
      <c r="C6" s="1">
        <v>2.9512100013432695E-2</v>
      </c>
      <c r="D6" t="s">
        <v>34</v>
      </c>
      <c r="F6" s="1"/>
      <c r="G6" s="1"/>
    </row>
    <row r="7" spans="1:10" x14ac:dyDescent="0.35">
      <c r="A7" s="4">
        <v>5.1813500000000001</v>
      </c>
      <c r="B7" s="1" t="s">
        <v>36</v>
      </c>
      <c r="C7" s="1">
        <v>2.0892999987264474E-2</v>
      </c>
      <c r="D7" t="s">
        <v>34</v>
      </c>
      <c r="F7" s="1"/>
      <c r="G7" s="1"/>
    </row>
    <row r="8" spans="1:10" x14ac:dyDescent="0.35">
      <c r="A8" s="4">
        <v>4.9261100000000004</v>
      </c>
      <c r="B8" s="1" t="s">
        <v>36</v>
      </c>
      <c r="C8" s="1">
        <v>1.3803799991265815E-2</v>
      </c>
      <c r="D8" t="s">
        <v>34</v>
      </c>
      <c r="F8" s="1"/>
      <c r="G8" s="1"/>
    </row>
    <row r="9" spans="1:10" x14ac:dyDescent="0.35">
      <c r="A9" s="4">
        <v>4.6948400000000001</v>
      </c>
      <c r="B9" s="1" t="s">
        <v>36</v>
      </c>
      <c r="C9" s="1">
        <v>7.0794599955808406E-3</v>
      </c>
      <c r="D9" t="s">
        <v>34</v>
      </c>
      <c r="F9" s="1"/>
      <c r="G9" s="1"/>
    </row>
    <row r="10" spans="1:10" x14ac:dyDescent="0.35">
      <c r="A10" s="4">
        <v>4.4843000000000002</v>
      </c>
      <c r="B10" s="1" t="s">
        <v>36</v>
      </c>
      <c r="C10" s="1">
        <v>2.8840300023224791E-3</v>
      </c>
      <c r="D10" t="s">
        <v>34</v>
      </c>
      <c r="F10" s="1"/>
      <c r="G10" s="1"/>
    </row>
    <row r="11" spans="1:10" x14ac:dyDescent="0.35">
      <c r="A11" s="4">
        <v>4.2918500000000002</v>
      </c>
      <c r="B11" s="1" t="s">
        <v>36</v>
      </c>
      <c r="C11" s="2">
        <v>1.0715200010063869E-3</v>
      </c>
      <c r="D11" t="s">
        <v>34</v>
      </c>
      <c r="I11" s="1"/>
      <c r="J11" s="1"/>
    </row>
    <row r="12" spans="1:10" x14ac:dyDescent="0.35">
      <c r="A12" s="4">
        <v>4.1152300000000004</v>
      </c>
      <c r="B12" s="1" t="s">
        <v>36</v>
      </c>
      <c r="C12" s="2">
        <v>3.6307799959290937E-4</v>
      </c>
      <c r="D12" t="s">
        <v>34</v>
      </c>
      <c r="I12" s="1"/>
      <c r="J12" s="1"/>
    </row>
    <row r="13" spans="1:10" x14ac:dyDescent="0.35">
      <c r="A13" s="4">
        <v>3.9525700000000001</v>
      </c>
      <c r="B13" s="1" t="s">
        <v>36</v>
      </c>
      <c r="C13" s="2">
        <v>1.2022599997830957E-4</v>
      </c>
      <c r="D13" t="s">
        <v>34</v>
      </c>
      <c r="I13" s="1"/>
      <c r="J13" s="1"/>
    </row>
    <row r="14" spans="1:10" x14ac:dyDescent="0.35">
      <c r="A14" s="4">
        <v>3.8022800000000001</v>
      </c>
      <c r="B14" s="1" t="s">
        <v>36</v>
      </c>
      <c r="C14" s="2">
        <v>4.0738000014799131E-5</v>
      </c>
      <c r="D14" t="s">
        <v>34</v>
      </c>
      <c r="I14" s="1"/>
      <c r="J14" s="1"/>
    </row>
    <row r="15" spans="1:10" x14ac:dyDescent="0.35">
      <c r="B15" s="1"/>
      <c r="I15" s="1"/>
      <c r="J15" s="1"/>
    </row>
    <row r="16" spans="1:10" x14ac:dyDescent="0.35">
      <c r="I16" s="1"/>
      <c r="J16" s="1"/>
    </row>
    <row r="17" spans="9:10" x14ac:dyDescent="0.35">
      <c r="I17" s="1"/>
      <c r="J17" s="1"/>
    </row>
    <row r="18" spans="9:10" x14ac:dyDescent="0.35">
      <c r="I18" s="1"/>
      <c r="J18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FB74-DAE1-44E3-867F-A49ACE3E2F55}">
  <dimension ref="A1:J18"/>
  <sheetViews>
    <sheetView tabSelected="1" workbookViewId="0">
      <selection activeCell="E4" sqref="E4"/>
    </sheetView>
  </sheetViews>
  <sheetFormatPr defaultRowHeight="14.5" x14ac:dyDescent="0.35"/>
  <cols>
    <col min="1" max="1" width="6.36328125" bestFit="1" customWidth="1"/>
    <col min="2" max="2" width="4.81640625" bestFit="1" customWidth="1"/>
    <col min="3" max="3" width="8" style="2" bestFit="1" customWidth="1"/>
    <col min="4" max="4" width="4.81640625" bestFit="1" customWidth="1"/>
  </cols>
  <sheetData>
    <row r="1" spans="1:10" x14ac:dyDescent="0.35">
      <c r="A1" t="s">
        <v>37</v>
      </c>
      <c r="B1" t="s">
        <v>3</v>
      </c>
      <c r="C1" s="2" t="s">
        <v>33</v>
      </c>
      <c r="D1" t="s">
        <v>3</v>
      </c>
    </row>
    <row r="2" spans="1:10" x14ac:dyDescent="0.35">
      <c r="A2">
        <v>5.1813500000000001</v>
      </c>
      <c r="B2" s="1" t="s">
        <v>36</v>
      </c>
      <c r="C2" s="1">
        <v>0.26595012574668259</v>
      </c>
      <c r="D2" t="s">
        <v>34</v>
      </c>
    </row>
    <row r="3" spans="1:10" x14ac:dyDescent="0.35">
      <c r="A3">
        <v>4.9261100000000004</v>
      </c>
      <c r="B3" s="1" t="s">
        <v>36</v>
      </c>
      <c r="C3" s="1">
        <v>5.7358792484213404E-2</v>
      </c>
      <c r="D3" t="s">
        <v>34</v>
      </c>
    </row>
    <row r="4" spans="1:10" x14ac:dyDescent="0.35">
      <c r="A4">
        <v>4.6948400000000001</v>
      </c>
      <c r="B4" s="1" t="s">
        <v>36</v>
      </c>
      <c r="C4" s="1">
        <v>1.344002263082163E-2</v>
      </c>
      <c r="D4" t="s">
        <v>34</v>
      </c>
    </row>
    <row r="5" spans="1:10" x14ac:dyDescent="0.35">
      <c r="A5">
        <v>4.4843000000000002</v>
      </c>
      <c r="B5" s="1" t="s">
        <v>36</v>
      </c>
      <c r="C5" s="1">
        <v>3.5026762691381264E-3</v>
      </c>
      <c r="D5" t="s">
        <v>34</v>
      </c>
    </row>
    <row r="6" spans="1:10" x14ac:dyDescent="0.35">
      <c r="A6">
        <v>4.2918500000000002</v>
      </c>
      <c r="B6" s="1" t="s">
        <v>36</v>
      </c>
      <c r="C6" s="1">
        <v>9.781377043229858E-4</v>
      </c>
      <c r="D6" t="s">
        <v>34</v>
      </c>
    </row>
    <row r="7" spans="1:10" x14ac:dyDescent="0.35">
      <c r="A7">
        <v>4.1152300000000004</v>
      </c>
      <c r="B7" s="1" t="s">
        <v>36</v>
      </c>
      <c r="C7" s="1">
        <v>2.9812610081722448E-4</v>
      </c>
      <c r="D7" t="s">
        <v>34</v>
      </c>
    </row>
    <row r="8" spans="1:10" x14ac:dyDescent="0.35">
      <c r="A8">
        <v>3.9525700000000001</v>
      </c>
      <c r="B8" s="1" t="s">
        <v>36</v>
      </c>
      <c r="C8" s="1">
        <v>1.0009214583192952E-4</v>
      </c>
      <c r="D8" t="s">
        <v>34</v>
      </c>
    </row>
    <row r="9" spans="1:10" x14ac:dyDescent="0.35">
      <c r="B9" s="1"/>
    </row>
    <row r="10" spans="1:10" x14ac:dyDescent="0.35">
      <c r="B10" s="1"/>
    </row>
    <row r="11" spans="1:10" x14ac:dyDescent="0.35">
      <c r="B11" s="1"/>
      <c r="I11" s="1"/>
      <c r="J11" s="1"/>
    </row>
    <row r="12" spans="1:10" x14ac:dyDescent="0.35">
      <c r="B12" s="1"/>
      <c r="I12" s="1"/>
      <c r="J12" s="1"/>
    </row>
    <row r="13" spans="1:10" x14ac:dyDescent="0.35">
      <c r="B13" s="1"/>
      <c r="I13" s="1"/>
      <c r="J13" s="1"/>
    </row>
    <row r="14" spans="1:10" x14ac:dyDescent="0.35">
      <c r="B14" s="1"/>
      <c r="I14" s="1"/>
      <c r="J14" s="1"/>
    </row>
    <row r="15" spans="1:10" x14ac:dyDescent="0.35">
      <c r="B15" s="1"/>
      <c r="I15" s="1"/>
      <c r="J15" s="1"/>
    </row>
    <row r="16" spans="1:10" x14ac:dyDescent="0.35">
      <c r="I16" s="1"/>
      <c r="J16" s="1"/>
    </row>
    <row r="17" spans="9:10" x14ac:dyDescent="0.35">
      <c r="I17" s="1"/>
      <c r="J17" s="1"/>
    </row>
    <row r="18" spans="9:10" x14ac:dyDescent="0.35">
      <c r="I18" s="1"/>
      <c r="J18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8037-87C0-40F9-BA4D-2CEE3770C234}">
  <dimension ref="A1:H11"/>
  <sheetViews>
    <sheetView workbookViewId="0">
      <selection activeCell="H3" sqref="H3"/>
    </sheetView>
  </sheetViews>
  <sheetFormatPr defaultRowHeight="14.5" x14ac:dyDescent="0.35"/>
  <cols>
    <col min="5" max="5" width="6.54296875" bestFit="1" customWidth="1"/>
    <col min="6" max="7" width="6.54296875" customWidth="1"/>
    <col min="8" max="8" width="30.08984375" bestFit="1" customWidth="1"/>
  </cols>
  <sheetData>
    <row r="1" spans="1:8" x14ac:dyDescent="0.35">
      <c r="A1" t="s">
        <v>4</v>
      </c>
      <c r="B1" t="s">
        <v>24</v>
      </c>
      <c r="C1" t="s">
        <v>13</v>
      </c>
      <c r="D1" t="s">
        <v>25</v>
      </c>
      <c r="E1" t="s">
        <v>0</v>
      </c>
      <c r="F1" t="s">
        <v>14</v>
      </c>
      <c r="G1" t="s">
        <v>15</v>
      </c>
      <c r="H1" t="s">
        <v>26</v>
      </c>
    </row>
    <row r="2" spans="1:8" x14ac:dyDescent="0.35">
      <c r="A2">
        <v>37500</v>
      </c>
      <c r="C2">
        <v>-146</v>
      </c>
      <c r="E2">
        <v>3.1</v>
      </c>
      <c r="F2">
        <f>273-40</f>
        <v>233</v>
      </c>
      <c r="G2">
        <v>273</v>
      </c>
      <c r="H2" t="s">
        <v>2</v>
      </c>
    </row>
    <row r="3" spans="1:8" x14ac:dyDescent="0.35">
      <c r="A3">
        <v>20715</v>
      </c>
      <c r="C3">
        <v>38</v>
      </c>
      <c r="E3">
        <v>3.1</v>
      </c>
      <c r="F3">
        <v>208</v>
      </c>
      <c r="G3">
        <v>273</v>
      </c>
      <c r="H3" t="s">
        <v>7</v>
      </c>
    </row>
    <row r="4" spans="1:8" x14ac:dyDescent="0.35">
      <c r="A4">
        <v>22050</v>
      </c>
      <c r="C4">
        <v>32</v>
      </c>
      <c r="E4">
        <v>3.1</v>
      </c>
      <c r="F4">
        <v>223</v>
      </c>
      <c r="G4">
        <v>273</v>
      </c>
      <c r="H4" t="s">
        <v>8</v>
      </c>
    </row>
    <row r="5" spans="1:8" x14ac:dyDescent="0.35">
      <c r="A5">
        <v>24500</v>
      </c>
      <c r="C5">
        <v>0</v>
      </c>
      <c r="E5">
        <v>3</v>
      </c>
      <c r="F5">
        <v>109</v>
      </c>
      <c r="G5">
        <v>125</v>
      </c>
      <c r="H5" t="s">
        <v>9</v>
      </c>
    </row>
    <row r="6" spans="1:8" x14ac:dyDescent="0.35">
      <c r="A6">
        <v>22520</v>
      </c>
      <c r="C6">
        <v>46</v>
      </c>
      <c r="E6">
        <v>3.1</v>
      </c>
      <c r="F6">
        <v>123</v>
      </c>
      <c r="G6">
        <v>268</v>
      </c>
      <c r="H6" t="s">
        <v>10</v>
      </c>
    </row>
    <row r="7" spans="1:8" x14ac:dyDescent="0.35">
      <c r="A7">
        <v>23700</v>
      </c>
      <c r="C7">
        <v>15</v>
      </c>
      <c r="E7">
        <v>3.1</v>
      </c>
      <c r="F7">
        <v>123</v>
      </c>
      <c r="G7">
        <v>273</v>
      </c>
      <c r="H7" t="s">
        <v>11</v>
      </c>
    </row>
    <row r="8" spans="1:8" x14ac:dyDescent="0.35">
      <c r="A8">
        <v>23490</v>
      </c>
      <c r="B8">
        <v>200</v>
      </c>
      <c r="C8">
        <v>1</v>
      </c>
      <c r="D8">
        <v>2</v>
      </c>
      <c r="E8">
        <v>3.2</v>
      </c>
      <c r="F8">
        <v>200</v>
      </c>
      <c r="G8">
        <v>271</v>
      </c>
      <c r="H8" t="s">
        <v>21</v>
      </c>
    </row>
    <row r="9" spans="1:8" x14ac:dyDescent="0.35">
      <c r="A9">
        <v>23260</v>
      </c>
      <c r="B9">
        <v>400</v>
      </c>
      <c r="C9">
        <v>16</v>
      </c>
      <c r="D9">
        <v>4</v>
      </c>
      <c r="E9">
        <v>3.2</v>
      </c>
      <c r="F9">
        <v>200</v>
      </c>
      <c r="G9">
        <v>271</v>
      </c>
      <c r="H9" t="s">
        <v>22</v>
      </c>
    </row>
    <row r="10" spans="1:8" x14ac:dyDescent="0.35">
      <c r="A10">
        <v>23400</v>
      </c>
      <c r="B10">
        <v>200</v>
      </c>
      <c r="C10">
        <v>15</v>
      </c>
      <c r="D10">
        <v>2</v>
      </c>
      <c r="E10">
        <v>3.2</v>
      </c>
      <c r="F10">
        <v>200</v>
      </c>
      <c r="G10">
        <v>271</v>
      </c>
      <c r="H10" t="s">
        <v>30</v>
      </c>
    </row>
    <row r="11" spans="1:8" x14ac:dyDescent="0.35">
      <c r="A11">
        <v>24620</v>
      </c>
      <c r="B11">
        <v>201</v>
      </c>
      <c r="C11">
        <v>6.2</v>
      </c>
      <c r="D11">
        <v>1.7</v>
      </c>
      <c r="E11">
        <v>3.2</v>
      </c>
      <c r="F11">
        <v>133</v>
      </c>
      <c r="G11">
        <v>272</v>
      </c>
      <c r="H11" t="s">
        <v>12</v>
      </c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A3FE-0F32-49BD-B14B-68AF1B039005}">
  <dimension ref="A1:I8"/>
  <sheetViews>
    <sheetView workbookViewId="0">
      <selection activeCell="H9" sqref="H9"/>
    </sheetView>
  </sheetViews>
  <sheetFormatPr defaultRowHeight="14.5" x14ac:dyDescent="0.35"/>
  <cols>
    <col min="9" max="9" width="30.6328125" bestFit="1" customWidth="1"/>
  </cols>
  <sheetData>
    <row r="1" spans="1:9" x14ac:dyDescent="0.35">
      <c r="A1" t="s">
        <v>16</v>
      </c>
      <c r="B1" t="s">
        <v>27</v>
      </c>
      <c r="C1" t="s">
        <v>17</v>
      </c>
      <c r="D1" t="s">
        <v>28</v>
      </c>
      <c r="E1" t="s">
        <v>29</v>
      </c>
      <c r="F1" t="s">
        <v>3</v>
      </c>
      <c r="G1" t="s">
        <v>14</v>
      </c>
      <c r="H1" t="s">
        <v>15</v>
      </c>
      <c r="I1" t="s">
        <v>26</v>
      </c>
    </row>
    <row r="2" spans="1:9" x14ac:dyDescent="0.35">
      <c r="A2" s="1">
        <v>5.3000000000000003E-16</v>
      </c>
      <c r="B2" s="1"/>
      <c r="C2">
        <v>13.25</v>
      </c>
      <c r="F2" t="s">
        <v>19</v>
      </c>
      <c r="G2">
        <v>207</v>
      </c>
      <c r="H2">
        <v>273</v>
      </c>
      <c r="I2" t="s">
        <v>2</v>
      </c>
    </row>
    <row r="3" spans="1:9" x14ac:dyDescent="0.35">
      <c r="A3" s="1">
        <v>4.9999999999999999E-20</v>
      </c>
      <c r="B3" s="1"/>
      <c r="C3">
        <v>11.3</v>
      </c>
      <c r="F3" t="s">
        <v>19</v>
      </c>
      <c r="G3">
        <v>109</v>
      </c>
      <c r="H3">
        <v>125</v>
      </c>
      <c r="I3" t="s">
        <v>9</v>
      </c>
    </row>
    <row r="4" spans="1:9" x14ac:dyDescent="0.35">
      <c r="A4" s="1">
        <v>5.3000000000000003E-16</v>
      </c>
      <c r="B4" s="1"/>
      <c r="C4" s="1">
        <v>55300</v>
      </c>
      <c r="D4" s="1"/>
      <c r="E4" s="1">
        <v>22600</v>
      </c>
      <c r="F4" t="s">
        <v>18</v>
      </c>
      <c r="G4">
        <v>123</v>
      </c>
      <c r="H4">
        <v>268</v>
      </c>
      <c r="I4" t="s">
        <v>11</v>
      </c>
    </row>
    <row r="5" spans="1:9" x14ac:dyDescent="0.35">
      <c r="A5" s="1">
        <v>2.2999999999999999E-12</v>
      </c>
      <c r="B5" s="1">
        <v>3.4000000000000001E-12</v>
      </c>
      <c r="C5" s="1">
        <v>49400</v>
      </c>
      <c r="D5" s="1">
        <v>2500</v>
      </c>
      <c r="E5" s="1"/>
      <c r="F5" t="s">
        <v>18</v>
      </c>
      <c r="G5">
        <v>200</v>
      </c>
      <c r="H5">
        <v>271</v>
      </c>
      <c r="I5" t="s">
        <v>23</v>
      </c>
    </row>
    <row r="6" spans="1:9" x14ac:dyDescent="0.35">
      <c r="A6" s="1">
        <v>2.2999999999999998E-13</v>
      </c>
      <c r="B6" s="1">
        <v>1.4000000000000001E-13</v>
      </c>
      <c r="C6" s="1">
        <v>53900</v>
      </c>
      <c r="D6" s="1">
        <v>800</v>
      </c>
      <c r="E6" s="1"/>
      <c r="F6" t="s">
        <v>18</v>
      </c>
      <c r="G6">
        <v>200</v>
      </c>
      <c r="H6">
        <v>271</v>
      </c>
      <c r="I6" t="s">
        <v>22</v>
      </c>
    </row>
    <row r="7" spans="1:9" x14ac:dyDescent="0.35">
      <c r="A7" s="1">
        <v>9.3000000000000008E-13</v>
      </c>
      <c r="B7" s="1">
        <v>2.2E-13</v>
      </c>
      <c r="C7" s="1">
        <v>51100</v>
      </c>
      <c r="D7" s="1">
        <v>1600</v>
      </c>
      <c r="E7" s="1"/>
      <c r="F7" t="s">
        <v>18</v>
      </c>
      <c r="G7">
        <v>200</v>
      </c>
      <c r="H7">
        <v>271</v>
      </c>
      <c r="I7" t="s">
        <v>30</v>
      </c>
    </row>
    <row r="8" spans="1:9" x14ac:dyDescent="0.35">
      <c r="A8" s="1">
        <v>5.3000000000000003E-16</v>
      </c>
      <c r="C8" s="1">
        <v>55438</v>
      </c>
      <c r="D8" s="1"/>
      <c r="E8" s="1"/>
      <c r="F8" t="s">
        <v>18</v>
      </c>
      <c r="G8">
        <v>243</v>
      </c>
      <c r="H8">
        <v>273</v>
      </c>
      <c r="I8" t="s">
        <v>20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Auty &amp; Cole (1952)</vt:lpstr>
      <vt:lpstr>Worz &amp; Cole (1969)</vt:lpstr>
      <vt:lpstr>Gough &amp; Davidson (1970)</vt:lpstr>
      <vt:lpstr>Hasted (1973)</vt:lpstr>
      <vt:lpstr>Johari &amp; Charette (1975)</vt:lpstr>
      <vt:lpstr>Johari &amp; Jones (1976) - D2O</vt:lpstr>
      <vt:lpstr>Johari &amp; Whalley (1981)</vt:lpstr>
      <vt:lpstr>Petrenko &amp; Whitworth (1999)</vt:lpstr>
      <vt:lpstr>Bittelli et al. (2004)</vt:lpstr>
      <vt:lpstr>Sasaki et al. (2016) - Iha</vt:lpstr>
      <vt:lpstr>Sasaki et al. (2016) - Ihb</vt:lpstr>
      <vt:lpstr>Sasaki et al. (2016) - Ihc</vt:lpstr>
      <vt:lpstr>Static Permittivity</vt:lpstr>
      <vt:lpstr>Relaxation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Wolfenbarger</dc:creator>
  <cp:lastModifiedBy>Natalie Wolfenbarger</cp:lastModifiedBy>
  <dcterms:created xsi:type="dcterms:W3CDTF">2024-11-29T22:54:40Z</dcterms:created>
  <dcterms:modified xsi:type="dcterms:W3CDTF">2026-07-07T13:52:47Z</dcterms:modified>
</cp:coreProperties>
</file>